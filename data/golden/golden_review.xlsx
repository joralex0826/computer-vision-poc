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01"/>
  <sheetViews>
    <sheetView workbookViewId="0">
      <selection activeCell="A1" sqref="A1"/>
    </sheetView>
  </sheetViews>
  <sheetFormatPr baseColWidth="8" defaultRowHeight="15"/>
  <sheetData>
    <row r="1">
      <c r="A1" t="inlineStr">
        <is>
          <t>imagen</t>
        </is>
      </c>
      <c r="B1" t="inlineStr">
        <is>
          <t>picture_url</t>
        </is>
      </c>
      <c r="C1" t="inlineStr">
        <is>
          <t>source_stratum</t>
        </is>
      </c>
      <c r="D1" t="inlineStr">
        <is>
          <t>legacy_label</t>
        </is>
      </c>
      <c r="E1" t="inlineStr">
        <is>
          <t>vlm_has_infraction</t>
        </is>
      </c>
      <c r="F1" t="inlineStr">
        <is>
          <t>vlm_reason</t>
        </is>
      </c>
      <c r="G1" t="inlineStr">
        <is>
          <t>vlm_evidence</t>
        </is>
      </c>
      <c r="H1" t="inlineStr">
        <is>
          <t>vlm_confidence</t>
        </is>
      </c>
      <c r="I1" t="inlineStr">
        <is>
          <t>human_label</t>
        </is>
      </c>
      <c r="J1" t="inlineStr">
        <is>
          <t>final_label</t>
        </is>
      </c>
      <c r="K1" t="inlineStr">
        <is>
          <t>notes</t>
        </is>
      </c>
      <c r="L1" t="inlineStr">
        <is>
          <t>ocr_text</t>
        </is>
      </c>
      <c r="M1" t="inlineStr">
        <is>
          <t>revision_check</t>
        </is>
      </c>
    </row>
    <row r="2">
      <c r="A2">
        <f>IMAGE("https://http2.mlstatic.com/D_NQ_NP_831970-MLB112366364260_062026-F.webp")</f>
        <v/>
      </c>
      <c r="B2" t="inlineStr">
        <is>
          <t>https://http2.mlstatic.com/D_NQ_NP_831970-MLB112366364260_062026-F.webp</t>
        </is>
      </c>
      <c r="C2" t="inlineStr">
        <is>
          <t>P-delivery</t>
        </is>
      </c>
      <c r="D2" t="b">
        <v>1</v>
      </c>
      <c r="E2" t="b">
        <v>0</v>
      </c>
      <c r="F2" t="inlineStr">
        <is>
          <t>none</t>
        </is>
      </c>
      <c r="G2" t="inlineStr"/>
      <c r="H2" t="inlineStr">
        <is>
          <t>low</t>
        </is>
      </c>
      <c r="I2" t="b">
        <v>1</v>
      </c>
      <c r="J2" t="b">
        <v>1</v>
      </c>
      <c r="K2" t="inlineStr"/>
      <c r="L2" t="inlineStr">
        <is>
          <t>ORIGINAL
SAMSUNG
S
produto
de
SAMSUNG
Fast Charging
Compatível com
android auto
apepijenb
mercado
livre
FULL
PRONTA ENTREGA
CARREGAMENTO RÁPIDO
ORIGINAL
CABO USB-A PARA USB-C
TÉCNOLOGIA PARA ANDROID AUTO</t>
        </is>
      </c>
      <c r="M2" t="inlineStr"/>
    </row>
    <row r="3">
      <c r="A3">
        <f>IMAGE("https://http2.mlstatic.com/D_NQ_NP_940970-MLB113502426375_062026-F.webp")</f>
        <v/>
      </c>
      <c r="B3" t="inlineStr">
        <is>
          <t>https://http2.mlstatic.com/D_NQ_NP_940970-MLB113502426375_062026-F.webp</t>
        </is>
      </c>
      <c r="C3" t="inlineStr">
        <is>
          <t>P-delivery</t>
        </is>
      </c>
      <c r="D3" t="b">
        <v>1</v>
      </c>
      <c r="E3" t="b">
        <v>1</v>
      </c>
      <c r="F3" t="inlineStr">
        <is>
          <t>badge</t>
        </is>
      </c>
      <c r="G3" t="inlineStr">
        <is>
          <t>Hot Sale</t>
        </is>
      </c>
      <c r="H3" t="inlineStr">
        <is>
          <t>medium</t>
        </is>
      </c>
      <c r="I3" t="b">
        <v>1</v>
      </c>
      <c r="J3" t="b">
        <v>1</v>
      </c>
      <c r="K3" t="inlineStr"/>
      <c r="L3" t="inlineStr">
        <is>
          <t>Telmaa el Fodt
UNLOCK TOOL
UNLOCK TOOL
A FERRAMENTA
COMPLETA PARA
DESBLOQUEIOS
8
DESBLOQUEIE
MAIS DISPOSITIVOS
RÁPIDO
4
E EFICIENTE
ATENÇÃO!
LEIA O ANUNCIO
COMPRA 100% SEGURA
PRODUTO DIGITAL - ENVIO IMEDIATO
SUPORTE
ATUALIZADO
FERRAMENTA
PROFISSIONAL</t>
        </is>
      </c>
      <c r="M3" t="inlineStr"/>
    </row>
    <row r="4">
      <c r="A4">
        <f>IMAGE("https://http2.mlstatic.com/D_NQ_NP_740045-MLB113457571347_062026-F.webp")</f>
        <v/>
      </c>
      <c r="B4" t="inlineStr">
        <is>
          <t>https://http2.mlstatic.com/D_NQ_NP_740045-MLB113457571347_062026-F.webp</t>
        </is>
      </c>
      <c r="C4" t="inlineStr">
        <is>
          <t>P-delivery</t>
        </is>
      </c>
      <c r="D4" t="b">
        <v>1</v>
      </c>
      <c r="E4" t="b">
        <v>0</v>
      </c>
      <c r="F4" t="inlineStr">
        <is>
          <t>none</t>
        </is>
      </c>
      <c r="G4" t="inlineStr"/>
      <c r="H4" t="inlineStr">
        <is>
          <t>high</t>
        </is>
      </c>
      <c r="I4" t="b">
        <v>1</v>
      </c>
      <c r="J4" t="b">
        <v>1</v>
      </c>
      <c r="K4" t="inlineStr"/>
      <c r="L4" t="inlineStr">
        <is>
          <t>FONE DE OUVIDO
COM PTT DE LAPELA
COMUNICAÇÃO PROFISSIONAL, SEM FALHAS.
Desenvolvido para quem precisa de
comunicação clara, prática e eficiente
em qualquer situação.
COMPATÍVEL COM
MAMOTOROLA
DEP450 | EP450
CDH
D
PTT DE LAPELA
Botão de transmissão
prático e discreto
na lapela.
ÁUDIO CLARO
Som nítido</t>
        </is>
      </c>
      <c r="M4" t="inlineStr"/>
    </row>
    <row r="5">
      <c r="A5">
        <f>IMAGE("https://http2.mlstatic.com/D_NQ_NP_882356-MLB112382783088_062026-F.webp")</f>
        <v/>
      </c>
      <c r="B5" t="inlineStr">
        <is>
          <t>https://http2.mlstatic.com/D_NQ_NP_882356-MLB112382783088_062026-F.webp</t>
        </is>
      </c>
      <c r="C5" t="inlineStr">
        <is>
          <t>P-delivery</t>
        </is>
      </c>
      <c r="D5" t="b">
        <v>1</v>
      </c>
      <c r="E5" t="b">
        <v>1</v>
      </c>
      <c r="F5" t="inlineStr">
        <is>
          <t>delivery</t>
        </is>
      </c>
      <c r="G5" t="inlineStr">
        <is>
          <t>PRONTA ENTREGA</t>
        </is>
      </c>
      <c r="H5" t="inlineStr">
        <is>
          <t>high</t>
        </is>
      </c>
      <c r="I5" t="b">
        <v>1</v>
      </c>
      <c r="J5" t="b">
        <v>1</v>
      </c>
      <c r="K5" t="inlineStr"/>
      <c r="L5" t="inlineStr">
        <is>
          <t>SV AUTOMÓVEIS ZERO KM
PRONTA ENTREGA</t>
        </is>
      </c>
      <c r="M5" t="inlineStr"/>
    </row>
    <row r="6">
      <c r="A6">
        <f>IMAGE("https://http2.mlstatic.com/D_NQ_NP_648413-MLB113589828985_062026-F.webp")</f>
        <v/>
      </c>
      <c r="B6" t="inlineStr">
        <is>
          <t>https://http2.mlstatic.com/D_NQ_NP_648413-MLB113589828985_062026-F.webp</t>
        </is>
      </c>
      <c r="C6" t="inlineStr">
        <is>
          <t>P-delivery</t>
        </is>
      </c>
      <c r="D6" t="b">
        <v>1</v>
      </c>
      <c r="E6" t="b">
        <v>1</v>
      </c>
      <c r="F6" t="inlineStr">
        <is>
          <t>badge</t>
        </is>
      </c>
      <c r="G6" t="inlineStr">
        <is>
          <t>un sello con texto como 'Recomendado' o 'Hot Sale'</t>
        </is>
      </c>
      <c r="H6" t="inlineStr">
        <is>
          <t>medium</t>
        </is>
      </c>
      <c r="I6" t="b">
        <v>0</v>
      </c>
      <c r="J6" t="b">
        <v>0</v>
      </c>
      <c r="K6" t="inlineStr"/>
      <c r="L6" t="inlineStr">
        <is>
          <t>fratsmultimarcas
MULTIMARCAS
Pronta entrega
AUTON
COMPLETO
BEDEN COURO
MANUAL
KITMULTIMIDIA
RATS
MULTIMARCAS
EXA
18
MPLE
3.SOL</t>
        </is>
      </c>
      <c r="M6" t="inlineStr"/>
    </row>
    <row r="7">
      <c r="A7">
        <f>IMAGE("https://http2.mlstatic.com/D_NQ_NP_664070-MLB113351740771_062026-F.webp")</f>
        <v/>
      </c>
      <c r="B7" t="inlineStr">
        <is>
          <t>https://http2.mlstatic.com/D_NQ_NP_664070-MLB113351740771_062026-F.webp</t>
        </is>
      </c>
      <c r="C7" t="inlineStr">
        <is>
          <t>P-delivery</t>
        </is>
      </c>
      <c r="D7" t="b">
        <v>1</v>
      </c>
      <c r="E7" t="b">
        <v>0</v>
      </c>
      <c r="F7" t="inlineStr">
        <is>
          <t>none</t>
        </is>
      </c>
      <c r="G7" t="inlineStr"/>
      <c r="H7" t="inlineStr">
        <is>
          <t>low</t>
        </is>
      </c>
      <c r="I7" t="b">
        <v>1</v>
      </c>
      <c r="J7" t="b">
        <v>1</v>
      </c>
      <c r="K7" t="inlineStr"/>
      <c r="L7" t="inlineStr">
        <is>
          <t>10:38
◄ Safari
SK
Anuidade grátis
20% OFF Saldo no Mercado Pago
Melos de pagamento VISA CLO
FRETE GRATIS ACIMA DE R$ 19
GIC
0
00
0+
Categorias
Carrinho
Videos
1/9</t>
        </is>
      </c>
      <c r="M7" t="inlineStr"/>
    </row>
    <row r="8">
      <c r="A8">
        <f>IMAGE("https://http2.mlstatic.com/D_NQ_NP_659088-MLB108957613381_032026-F.webp")</f>
        <v/>
      </c>
      <c r="B8" t="inlineStr">
        <is>
          <t>https://http2.mlstatic.com/D_NQ_NP_659088-MLB108957613381_032026-F.webp</t>
        </is>
      </c>
      <c r="C8" t="inlineStr">
        <is>
          <t>P-delivery</t>
        </is>
      </c>
      <c r="D8" t="b">
        <v>1</v>
      </c>
      <c r="E8" t="b">
        <v>1</v>
      </c>
      <c r="F8" t="inlineStr">
        <is>
          <t>badge</t>
        </is>
      </c>
      <c r="G8" t="inlineStr">
        <is>
          <t>MERCADO LIDER</t>
        </is>
      </c>
      <c r="H8" t="inlineStr">
        <is>
          <t>high</t>
        </is>
      </c>
      <c r="I8" t="b">
        <v>1</v>
      </c>
      <c r="J8" t="b">
        <v>1</v>
      </c>
      <c r="K8" t="inlineStr"/>
      <c r="L8" t="inlineStr">
        <is>
          <t>FRETE GRÁTIS
PARCELAMENTO
Per Tutti
CAPA PARA COLCHÃO
COM ZÍPER
QUEEN
100% ALGODÃO
FIO 30/1
MELHOR
VENDEDOR
MERCADO
LİDER</t>
        </is>
      </c>
      <c r="M8" t="inlineStr"/>
    </row>
    <row r="9">
      <c r="A9">
        <f>IMAGE("https://http2.mlstatic.com/D_NQ_NP_988786-MLB112469879684_062026-F.webp")</f>
        <v/>
      </c>
      <c r="B9" t="inlineStr">
        <is>
          <t>https://http2.mlstatic.com/D_NQ_NP_988786-MLB112469879684_062026-F.webp</t>
        </is>
      </c>
      <c r="C9" t="inlineStr">
        <is>
          <t>P-delivery</t>
        </is>
      </c>
      <c r="D9" t="b">
        <v>1</v>
      </c>
      <c r="E9" t="b">
        <v>1</v>
      </c>
      <c r="F9" t="inlineStr">
        <is>
          <t>badge</t>
        </is>
      </c>
      <c r="G9" t="inlineStr">
        <is>
          <t>un sello con texto como 'Recomendado'</t>
        </is>
      </c>
      <c r="H9" t="inlineStr">
        <is>
          <t>medium</t>
        </is>
      </c>
      <c r="I9" t="b">
        <v>1</v>
      </c>
      <c r="J9" t="b">
        <v>1</v>
      </c>
      <c r="K9" t="inlineStr"/>
      <c r="L9" t="inlineStr">
        <is>
          <t>01
CONFORTO
EM CADA PASSO
ENVIO
RÁPIDO
111
LEVE
E CONFORTÁVEL
MATERIAL
RESPIRÁVEL
SOLADO
ANTIDERRAPANTE
RESISTENTE
E DURÁVEL
PRONTA
ENTREGA</t>
        </is>
      </c>
      <c r="M9" t="inlineStr"/>
    </row>
    <row r="10">
      <c r="A10">
        <f>IMAGE("https://http2.mlstatic.com/D_NQ_NP_973720-MLB113490496187_062026-F.webp")</f>
        <v/>
      </c>
      <c r="B10" t="inlineStr">
        <is>
          <t>https://http2.mlstatic.com/D_NQ_NP_973720-MLB113490496187_062026-F.webp</t>
        </is>
      </c>
      <c r="C10" t="inlineStr">
        <is>
          <t>P-delivery</t>
        </is>
      </c>
      <c r="D10" t="b">
        <v>1</v>
      </c>
      <c r="E10" t="b">
        <v>1</v>
      </c>
      <c r="F10" t="inlineStr">
        <is>
          <t>badge</t>
        </is>
      </c>
      <c r="G10" t="inlineStr">
        <is>
          <t>MAIS VENDIDA</t>
        </is>
      </c>
      <c r="H10" t="inlineStr">
        <is>
          <t>high</t>
        </is>
      </c>
      <c r="I10" t="b">
        <v>1</v>
      </c>
      <c r="J10" t="b">
        <v>1</v>
      </c>
      <c r="K10" t="inlineStr"/>
      <c r="L10" t="inlineStr">
        <is>
          <t>-0-
ENVIO
IMEDIATO
19101
FÁCIL DE LIMPAR
FILTRO REMOVÍVEL
AVIDRO BOROSSILICATO
RESISTENTE E DURÁVEL
FILTRO INOX
CHÁ SEM RESÍDUOS
FILTRO INOX
AA
VIDRO
REMOVÍVEL
BOROSSILICATO
ESTE ANÚNCIO
CONTÉM
VARIAÇÕES DE KIT
KIT
1/2/3
UNIDADES
ESCOLHA SUA OPÇÃO
950ML
CAPACIDADE
ATÉ
50
XÍCARAS
MAIS
VENDIDA
PARA CH</t>
        </is>
      </c>
      <c r="M10" t="inlineStr"/>
    </row>
    <row r="11">
      <c r="A11">
        <f>IMAGE("https://http2.mlstatic.com/D_NQ_NP_940037-MLB113362126291_062026-F.webp")</f>
        <v/>
      </c>
      <c r="B11" t="inlineStr">
        <is>
          <t>https://http2.mlstatic.com/D_NQ_NP_940037-MLB113362126291_062026-F.webp</t>
        </is>
      </c>
      <c r="C11" t="inlineStr">
        <is>
          <t>P-delivery</t>
        </is>
      </c>
      <c r="D11" t="b">
        <v>1</v>
      </c>
      <c r="E11" t="b">
        <v>0</v>
      </c>
      <c r="F11" t="inlineStr">
        <is>
          <t>none</t>
        </is>
      </c>
      <c r="G11" t="inlineStr"/>
      <c r="H11" t="inlineStr">
        <is>
          <t>low</t>
        </is>
      </c>
      <c r="I11" t="b">
        <v>1</v>
      </c>
      <c r="J11" t="b">
        <v>1</v>
      </c>
      <c r="K11" t="inlineStr"/>
      <c r="L11" t="inlineStr">
        <is>
          <t>Valor do par
Aplicação: Chevrolet
Silverado 97&gt;02
A pronta entrega
Modelo original</t>
        </is>
      </c>
      <c r="M11" t="inlineStr"/>
    </row>
    <row r="12">
      <c r="A12">
        <f>IMAGE("https://http2.mlstatic.com/D_NQ_NP_655384-MLB47891064735_102021-F.webp")</f>
        <v/>
      </c>
      <c r="B12" t="inlineStr">
        <is>
          <t>https://http2.mlstatic.com/D_NQ_NP_655384-MLB47891064735_102021-F.webp</t>
        </is>
      </c>
      <c r="C12" t="inlineStr">
        <is>
          <t>P-delivery</t>
        </is>
      </c>
      <c r="D12" t="b">
        <v>1</v>
      </c>
      <c r="E12" t="b">
        <v>1</v>
      </c>
      <c r="F12" t="inlineStr">
        <is>
          <t>delivery</t>
        </is>
      </c>
      <c r="G12" t="inlineStr">
        <is>
          <t>frete grátis</t>
        </is>
      </c>
      <c r="H12" t="inlineStr">
        <is>
          <t>high</t>
        </is>
      </c>
      <c r="I12" t="b">
        <v>1</v>
      </c>
      <c r="J12" t="b">
        <v>1</v>
      </c>
      <c r="K12" t="inlineStr"/>
      <c r="L12" t="inlineStr">
        <is>
          <t xml:space="preserve">FRETE GRÁTIS
</t>
        </is>
      </c>
      <c r="M12" t="inlineStr"/>
    </row>
    <row r="13">
      <c r="A13">
        <f>IMAGE("https://http2.mlstatic.com/D_NQ_NP_666147-MLB112422902584_062026-F.webp")</f>
        <v/>
      </c>
      <c r="B13" t="inlineStr">
        <is>
          <t>https://http2.mlstatic.com/D_NQ_NP_666147-MLB112422902584_062026-F.webp</t>
        </is>
      </c>
      <c r="C13" t="inlineStr">
        <is>
          <t>P-delivery</t>
        </is>
      </c>
      <c r="D13" t="b">
        <v>1</v>
      </c>
      <c r="E13" t="b">
        <v>0</v>
      </c>
      <c r="F13" t="inlineStr">
        <is>
          <t>none</t>
        </is>
      </c>
      <c r="G13" t="inlineStr"/>
      <c r="H13" t="inlineStr">
        <is>
          <t>low</t>
        </is>
      </c>
      <c r="I13" t="b">
        <v>1</v>
      </c>
      <c r="J13" t="b">
        <v>1</v>
      </c>
      <c r="K13" t="inlineStr"/>
      <c r="L13" t="inlineStr">
        <is>
          <t>PORTA DIANTEIRA
DIREITA
LADO PASSAGEIRO
COMPATÍVEL COM:
FORD FIESTA
1996 1997 1998
1999 2000 2001
2002 2003 2004
2005 2006 2007
Q
ORIGINAL
USADA
☑
PEÇA
ORIGINAL
PRONTA
ENTREGA
LADO PASSAGEIRO
DIANTEIRA DIREITA
ORIGINAL
USADA</t>
        </is>
      </c>
      <c r="M13" t="inlineStr"/>
    </row>
    <row r="14">
      <c r="A14">
        <f>IMAGE("https://http2.mlstatic.com/D_NQ_NP_779136-MLB112359491904_062026-F.webp")</f>
        <v/>
      </c>
      <c r="B14" t="inlineStr">
        <is>
          <t>https://http2.mlstatic.com/D_NQ_NP_779136-MLB112359491904_062026-F.webp</t>
        </is>
      </c>
      <c r="C14" t="inlineStr">
        <is>
          <t>P-delivery</t>
        </is>
      </c>
      <c r="D14" t="b">
        <v>1</v>
      </c>
      <c r="E14" t="b">
        <v>1</v>
      </c>
      <c r="F14" t="inlineStr">
        <is>
          <t>delivery</t>
        </is>
      </c>
      <c r="G14" t="inlineStr">
        <is>
          <t>Envio Imediato</t>
        </is>
      </c>
      <c r="H14" t="inlineStr">
        <is>
          <t>high</t>
        </is>
      </c>
      <c r="I14" t="b">
        <v>1</v>
      </c>
      <c r="J14" t="b">
        <v>1</v>
      </c>
      <c r="K14" t="inlineStr"/>
      <c r="L14" t="inlineStr">
        <is>
          <t>4
Envio
Imediato
Garantia
Total</t>
        </is>
      </c>
      <c r="M14" t="inlineStr"/>
    </row>
    <row r="15">
      <c r="A15">
        <f>IMAGE("https://http2.mlstatic.com/D_NQ_NP_834630-MLB113505359989_062026-F.webp")</f>
        <v/>
      </c>
      <c r="B15" t="inlineStr">
        <is>
          <t>https://http2.mlstatic.com/D_NQ_NP_834630-MLB113505359989_062026-F.webp</t>
        </is>
      </c>
      <c r="C15" t="inlineStr">
        <is>
          <t>P-delivery</t>
        </is>
      </c>
      <c r="D15" t="b">
        <v>1</v>
      </c>
      <c r="E15" t="b">
        <v>1</v>
      </c>
      <c r="F15" t="inlineStr">
        <is>
          <t>delivery</t>
        </is>
      </c>
      <c r="G15" t="inlineStr">
        <is>
          <t>Pronta Entrega</t>
        </is>
      </c>
      <c r="H15" t="inlineStr">
        <is>
          <t>high</t>
        </is>
      </c>
      <c r="I15" t="b">
        <v>1</v>
      </c>
      <c r="J15" t="b">
        <v>1</v>
      </c>
      <c r="K15" t="inlineStr"/>
      <c r="L15" t="inlineStr">
        <is>
          <t>Pronta Entrega
Seus acessórios
sempre organizados
Visualize cada peça e evite
nós no dia a dia
Mantém colares
sem nós
Visualize todas
as peças
Material resistente
e leve
Design que
decora</t>
        </is>
      </c>
      <c r="M15" t="inlineStr"/>
    </row>
    <row r="16">
      <c r="A16">
        <f>IMAGE("https://http2.mlstatic.com/D_NQ_NP_738948-MLA112360056930_062026-F.webp")</f>
        <v/>
      </c>
      <c r="B16" t="inlineStr">
        <is>
          <t>https://http2.mlstatic.com/D_NQ_NP_738948-MLA112360056930_062026-F.webp</t>
        </is>
      </c>
      <c r="C16" t="inlineStr">
        <is>
          <t>P-delivery</t>
        </is>
      </c>
      <c r="D16" t="b">
        <v>1</v>
      </c>
      <c r="E16" t="b">
        <v>1</v>
      </c>
      <c r="F16" t="inlineStr">
        <is>
          <t>badge</t>
        </is>
      </c>
      <c r="G16" t="inlineStr">
        <is>
          <t>un sello que imita una etiqueta oficial de MercadoLibre</t>
        </is>
      </c>
      <c r="H16" t="inlineStr">
        <is>
          <t>medium</t>
        </is>
      </c>
      <c r="I16" t="b">
        <v>1</v>
      </c>
      <c r="J16" t="b">
        <v>1</v>
      </c>
      <c r="K16" t="inlineStr"/>
      <c r="L16" t="inlineStr">
        <is>
          <t>DESCUBRIENDO LA
COCINA VEGETARIANA
44 RECETAS CON LEGUMBRES
SIN INGREDIENTES DE ORIGEN ANIMAL
44 RECETAS
SALUDABLES
100%
VEGETARIANAS
FÁCILES Y
DELICIOSAS
COMPRA
SEGURA
VENDEDOR
CONFIABLE
SATISFACCIÓN GARANTIZADA
PDF
FORMATO DIGITAL
PDF DESCARGABLE
ENTREGA
INMEDIATA</t>
        </is>
      </c>
      <c r="M16" t="inlineStr"/>
    </row>
    <row r="17">
      <c r="A17">
        <f>IMAGE("https://http2.mlstatic.com/D_NQ_NP_832364-MLB42248628457_062020-F.webp")</f>
        <v/>
      </c>
      <c r="B17" t="inlineStr">
        <is>
          <t>https://http2.mlstatic.com/D_NQ_NP_832364-MLB42248628457_062020-F.webp</t>
        </is>
      </c>
      <c r="C17" t="inlineStr">
        <is>
          <t>P-delivery</t>
        </is>
      </c>
      <c r="D17" t="b">
        <v>1</v>
      </c>
      <c r="E17" t="b">
        <v>1</v>
      </c>
      <c r="F17" t="inlineStr">
        <is>
          <t>delivery</t>
        </is>
      </c>
      <c r="G17" t="inlineStr">
        <is>
          <t>Frete grátis</t>
        </is>
      </c>
      <c r="H17" t="inlineStr">
        <is>
          <t>high</t>
        </is>
      </c>
      <c r="I17" t="b">
        <v>1</v>
      </c>
      <c r="J17" t="b">
        <v>1</v>
      </c>
      <c r="K17" t="inlineStr"/>
      <c r="L17" t="inlineStr">
        <is>
          <t>MM
100%
Positivas
Frete grátis</t>
        </is>
      </c>
      <c r="M17" t="inlineStr"/>
    </row>
    <row r="18">
      <c r="A18">
        <f>IMAGE("https://http2.mlstatic.com/D_NQ_NP_604088-MCO112309537940_062026-F.webp")</f>
        <v/>
      </c>
      <c r="B18" t="inlineStr">
        <is>
          <t>https://http2.mlstatic.com/D_NQ_NP_604088-MCO112309537940_062026-F.webp</t>
        </is>
      </c>
      <c r="C18" t="inlineStr">
        <is>
          <t>P-delivery</t>
        </is>
      </c>
      <c r="D18" t="b">
        <v>1</v>
      </c>
      <c r="E18" t="b">
        <v>1</v>
      </c>
      <c r="F18" t="inlineStr">
        <is>
          <t>badge</t>
        </is>
      </c>
      <c r="G18" t="inlineStr">
        <is>
          <t>logotipo de marca</t>
        </is>
      </c>
      <c r="H18" t="inlineStr">
        <is>
          <t>medium</t>
        </is>
      </c>
      <c r="I18" t="b">
        <v>1</v>
      </c>
      <c r="J18" t="b">
        <v>1</v>
      </c>
      <c r="K18" t="inlineStr"/>
      <c r="L18" t="inlineStr">
        <is>
          <t>TODOS NUESTROS PRODUCTOS SON COMPLETAMENTE NUEVOS
GARANTÍA DE SATISFACCIÓN TOTAL A 30 DÍAS
SI FACTURAMOS
DISTRIBUIDOR OFICIAL DE BUSHNELL EN MÉXICO
PRODUCTOS 100% ORIGINALES
SI ESTÁ PUBLICADO ES QUE ESTÁ DISPONIBLE PARA ENTREGA INMEDIATA
CUALQUIER INCONVENIENTE CONTACTENOS ANTES DE INICIAR UN RECLAM</t>
        </is>
      </c>
      <c r="M18" t="inlineStr"/>
    </row>
    <row r="19">
      <c r="A19">
        <f>IMAGE("https://http2.mlstatic.com/D_NQ_NP_835126-MLB113623869033_062026-F.webp")</f>
        <v/>
      </c>
      <c r="B19" t="inlineStr">
        <is>
          <t>https://http2.mlstatic.com/D_NQ_NP_835126-MLB113623869033_062026-F.webp</t>
        </is>
      </c>
      <c r="C19" t="inlineStr">
        <is>
          <t>P-delivery</t>
        </is>
      </c>
      <c r="D19" t="b">
        <v>1</v>
      </c>
      <c r="E19" t="b">
        <v>1</v>
      </c>
      <c r="F19" t="inlineStr">
        <is>
          <t>badge</t>
        </is>
      </c>
      <c r="G19" t="inlineStr">
        <is>
          <t>un sello que imita una etiqueta oficial de MercadoLibre</t>
        </is>
      </c>
      <c r="H19" t="inlineStr">
        <is>
          <t>medium</t>
        </is>
      </c>
      <c r="I19" t="b">
        <v>1</v>
      </c>
      <c r="J19" t="b">
        <v>1</v>
      </c>
      <c r="K19" t="inlineStr"/>
      <c r="L19" t="inlineStr">
        <is>
          <t>+150 ARTES PIXEL ART *
PARA COLORIR
ANIMAIS
DIVERSÃO CRIATIVA SEM TELAS!✓
AVENTURA
IMPRIMA
PINTE
SE DIVIRTA
FANTASIA
骨
FÁCIL DE
DIVERSÃO
IMPRIMIR
SEM TELAS
DESENVOLVE A
CRIATIVIDADE
PARA TODAS
AS IDADES
KAWAII
*
Pixel Kids+
+150
ARTES PIXEL ART
PARA COLORIR
DIVERSÃO CRIATIVA SEM TELAS!
PRODUTO DIGIT</t>
        </is>
      </c>
      <c r="M19" t="inlineStr"/>
    </row>
    <row r="20">
      <c r="A20">
        <f>IMAGE("https://http2.mlstatic.com/D_NQ_NP_816135-MLB112336135216_062026-F.webp")</f>
        <v/>
      </c>
      <c r="B20" t="inlineStr">
        <is>
          <t>https://http2.mlstatic.com/D_NQ_NP_816135-MLB112336135216_062026-F.webp</t>
        </is>
      </c>
      <c r="C20" t="inlineStr">
        <is>
          <t>P-delivery</t>
        </is>
      </c>
      <c r="D20" t="b">
        <v>1</v>
      </c>
      <c r="E20" t="b">
        <v>1</v>
      </c>
      <c r="F20" t="inlineStr">
        <is>
          <t>badge</t>
        </is>
      </c>
      <c r="G20" t="inlineStr">
        <is>
          <t>un badge with text like 'Recomendado' or 'Hot Sale'</t>
        </is>
      </c>
      <c r="H20" t="inlineStr">
        <is>
          <t>medium</t>
        </is>
      </c>
      <c r="I20" t="b">
        <v>1</v>
      </c>
      <c r="J20" t="b">
        <v>1</v>
      </c>
      <c r="K20" t="inlineStr"/>
      <c r="L20" t="inlineStr">
        <is>
          <t>ENVIO
IMEDIATO
REMOVE PELOS,
POEIRA E FIAPOS
ADESIVO
ULTRA RESISTENTE
Remove pelos, poeira
e fiapos com facilidade
CABO ERGONÔMICO
Mais conforto
e praticidade
no uso diário
FÁCIL DE USAR
Basta destacar
a folha usada
e pronto!
KIT ECONÔMICO
ROLO
ADESIVO
TIRA PELOS
ROLO ACOMPANHA
20 FOLHAS NELE
OUTRAS</t>
        </is>
      </c>
      <c r="M20" t="inlineStr"/>
    </row>
    <row r="21">
      <c r="A21">
        <f>IMAGE("https://http2.mlstatic.com/D_NQ_NP_955764-MLB112408211958_062026-F.webp")</f>
        <v/>
      </c>
      <c r="B21" t="inlineStr">
        <is>
          <t>https://http2.mlstatic.com/D_NQ_NP_955764-MLB112408211958_062026-F.webp</t>
        </is>
      </c>
      <c r="C21" t="inlineStr">
        <is>
          <t>P-delivery</t>
        </is>
      </c>
      <c r="D21" t="b">
        <v>1</v>
      </c>
      <c r="E21" t="b">
        <v>1</v>
      </c>
      <c r="F21" t="inlineStr">
        <is>
          <t>delivery</t>
        </is>
      </c>
      <c r="G21" t="inlineStr">
        <is>
          <t>Frete grátis</t>
        </is>
      </c>
      <c r="H21" t="inlineStr">
        <is>
          <t>high</t>
        </is>
      </c>
      <c r="I21" t="b">
        <v>1</v>
      </c>
      <c r="J21" t="b">
        <v>1</v>
      </c>
      <c r="K21" t="inlineStr"/>
      <c r="L21" t="inlineStr">
        <is>
          <t>MAIS ECONÔMICO
RESPEITE O
HOMEM
COR
RESPEITE
HOME
RESPEITE O
HOMEM
FOR
SHA
ANTI
PREVE
AÇÃO ANTIQUE
ACAO ANTICAS
CONTROLE DE C
FORÇA E PROTE
250
RESP
HO
FOR
SHA
RESPEITE
HOME
H
H
FC
SH
ΑΝ
RESPEITE O
HOMEM
AÇÃO ANT
AÇÃO ANT
CONTROLE
PREVEN
FOR MEN
FORÇA E P
ANTIC
ACAO ANTIQUED
ACAO ANTICASP
CONTROLE D</t>
        </is>
      </c>
      <c r="M21" t="inlineStr"/>
    </row>
    <row r="22">
      <c r="A22">
        <f>IMAGE("https://http2.mlstatic.com/D_NQ_NP_926376-MLB113413087015_062026-F.webp")</f>
        <v/>
      </c>
      <c r="B22" t="inlineStr">
        <is>
          <t>https://http2.mlstatic.com/D_NQ_NP_926376-MLB113413087015_062026-F.webp</t>
        </is>
      </c>
      <c r="C22" t="inlineStr">
        <is>
          <t>P-delivery</t>
        </is>
      </c>
      <c r="D22" t="b">
        <v>1</v>
      </c>
      <c r="E22" t="b">
        <v>1</v>
      </c>
      <c r="F22" t="inlineStr">
        <is>
          <t>badge</t>
        </is>
      </c>
      <c r="G22" t="inlineStr">
        <is>
          <t>Mas vendido</t>
        </is>
      </c>
      <c r="H22" t="inlineStr">
        <is>
          <t>high</t>
        </is>
      </c>
      <c r="I22" t="b">
        <v>1</v>
      </c>
      <c r="J22" t="b">
        <v>1</v>
      </c>
      <c r="K22" t="inlineStr"/>
      <c r="L22" t="inlineStr">
        <is>
          <t>COLEÇÃO GEEK ✶
CHAVEIROS
MINI TACA
COPA DO MUNDO
DOURADA ESTILO OURO
Leve a emoção do mundial com você!
A
DESIGN EXCLUSIVO
Inspirado na Taça
da Copa do Mundo
ACABAMENTO
PREMIUM
Dourado estilo ouro
MATERIAL RESISTENTE
Produzido em plástico
de alta qualidade
IDEAL PARA
Presentear, colecionar
e decorar</t>
        </is>
      </c>
      <c r="M22" t="inlineStr"/>
    </row>
    <row r="23">
      <c r="A23">
        <f>IMAGE("https://http2.mlstatic.com/D_NQ_NP_631272-MLB105953061774_022026-F.webp")</f>
        <v/>
      </c>
      <c r="B23" t="inlineStr">
        <is>
          <t>https://http2.mlstatic.com/D_NQ_NP_631272-MLB105953061774_022026-F.webp</t>
        </is>
      </c>
      <c r="C23" t="inlineStr">
        <is>
          <t>P-delivery</t>
        </is>
      </c>
      <c r="D23" t="b">
        <v>1</v>
      </c>
      <c r="E23" t="b">
        <v>0</v>
      </c>
      <c r="F23" t="inlineStr">
        <is>
          <t>none</t>
        </is>
      </c>
      <c r="G23" t="inlineStr"/>
      <c r="H23" t="inlineStr">
        <is>
          <t>high</t>
        </is>
      </c>
      <c r="I23" t="b">
        <v>1</v>
      </c>
      <c r="J23" t="b">
        <v>1</v>
      </c>
      <c r="K23" t="inlineStr"/>
      <c r="L23" t="inlineStr">
        <is>
          <t>ENVIO IMEDIATO
SOMOS O
FABRICANTE
CABO REVESTIDO
EM ALUMÍNIO
4-ESPETO ESPADA
2-ESPETO DUPLO
FEITO EM
AÇO INOX</t>
        </is>
      </c>
      <c r="M23" t="inlineStr"/>
    </row>
    <row r="24">
      <c r="A24">
        <f>IMAGE("https://http2.mlstatic.com/D_NQ_NP_621475-MLB113527590987_062026-F.webp")</f>
        <v/>
      </c>
      <c r="B24" t="inlineStr">
        <is>
          <t>https://http2.mlstatic.com/D_NQ_NP_621475-MLB113527590987_062026-F.webp</t>
        </is>
      </c>
      <c r="C24" t="inlineStr">
        <is>
          <t>P-delivery</t>
        </is>
      </c>
      <c r="D24" t="b">
        <v>1</v>
      </c>
      <c r="E24" t="b">
        <v>1</v>
      </c>
      <c r="F24" t="inlineStr">
        <is>
          <t>promo</t>
        </is>
      </c>
      <c r="G24" t="inlineStr">
        <is>
          <t>13</t>
        </is>
      </c>
      <c r="H24" t="inlineStr">
        <is>
          <t>medium</t>
        </is>
      </c>
      <c r="I24" t="b">
        <v>0</v>
      </c>
      <c r="J24" t="b">
        <v>0</v>
      </c>
      <c r="K24" t="inlineStr"/>
      <c r="L24" t="inlineStr">
        <is>
          <t>23
BLINDADO
11 94783-2304
MG CAR
10
B
mg10car
www.mg10car.com.br
ERO R
Pronta entrega
MGACCAR</t>
        </is>
      </c>
      <c r="M24" t="inlineStr"/>
    </row>
    <row r="25">
      <c r="A25">
        <f>IMAGE("https://http2.mlstatic.com/D_NQ_NP_840448-MLA99941669463_112025-F.webp")</f>
        <v/>
      </c>
      <c r="B25" t="inlineStr">
        <is>
          <t>https://http2.mlstatic.com/D_NQ_NP_840448-MLA99941669463_112025-F.webp</t>
        </is>
      </c>
      <c r="C25" t="inlineStr">
        <is>
          <t>P-delivery</t>
        </is>
      </c>
      <c r="D25" t="b">
        <v>1</v>
      </c>
      <c r="E25" t="b">
        <v>1</v>
      </c>
      <c r="F25" t="inlineStr">
        <is>
          <t>delivery</t>
        </is>
      </c>
      <c r="G25" t="inlineStr">
        <is>
          <t>Frete Grátis Pronta Entrega</t>
        </is>
      </c>
      <c r="H25" t="inlineStr">
        <is>
          <t>high</t>
        </is>
      </c>
      <c r="I25" t="b">
        <v>1</v>
      </c>
      <c r="J25" t="b">
        <v>1</v>
      </c>
      <c r="K25" t="inlineStr"/>
      <c r="L25" t="inlineStr">
        <is>
          <t>YGM Malas
*
Pode levar na cabine do avião Material Fibra Rigida
8
Senha Númerica
360 e
removíveis
Com zíper expansivel
Com garantia
Frete
Grátis
Pronta Entrega</t>
        </is>
      </c>
      <c r="M25" t="inlineStr"/>
    </row>
    <row r="26">
      <c r="A26">
        <f>IMAGE("https://http2.mlstatic.com/D_NQ_NP_612304-MLB112213144250_062026-F.webp")</f>
        <v/>
      </c>
      <c r="B26" t="inlineStr">
        <is>
          <t>https://http2.mlstatic.com/D_NQ_NP_612304-MLB112213144250_062026-F.webp</t>
        </is>
      </c>
      <c r="C26" t="inlineStr">
        <is>
          <t>P-delivery</t>
        </is>
      </c>
      <c r="D26" t="b">
        <v>1</v>
      </c>
      <c r="E26" t="b">
        <v>0</v>
      </c>
      <c r="F26" t="inlineStr">
        <is>
          <t>none</t>
        </is>
      </c>
      <c r="G26" t="inlineStr"/>
      <c r="H26" t="inlineStr">
        <is>
          <t>low</t>
        </is>
      </c>
      <c r="I26" t="b">
        <v>1</v>
      </c>
      <c r="J26" t="b">
        <v>1</v>
      </c>
      <c r="K26" t="inlineStr"/>
      <c r="L26" t="inlineStr">
        <is>
          <t>Peça original
Nota Fiscal
Inclusa
S
Imagens
Reais
Envio
Imediato para
todo Brasil
PEÇA
USADA
90
DIAS DE
GARANTIA</t>
        </is>
      </c>
      <c r="M26" t="inlineStr"/>
    </row>
    <row r="27">
      <c r="A27">
        <f>IMAGE("https://http2.mlstatic.com/D_NQ_NP_980604-MLB113663697873_062026-F.webp")</f>
        <v/>
      </c>
      <c r="B27" t="inlineStr">
        <is>
          <t>https://http2.mlstatic.com/D_NQ_NP_980604-MLB113663697873_062026-F.webp</t>
        </is>
      </c>
      <c r="C27" t="inlineStr">
        <is>
          <t>P-delivery</t>
        </is>
      </c>
      <c r="D27" t="b">
        <v>1</v>
      </c>
      <c r="E27" t="b">
        <v>0</v>
      </c>
      <c r="F27" t="inlineStr">
        <is>
          <t>none</t>
        </is>
      </c>
      <c r="G27" t="inlineStr"/>
      <c r="H27" t="inlineStr">
        <is>
          <t>low</t>
        </is>
      </c>
      <c r="I27" t="b">
        <v>1</v>
      </c>
      <c r="J27" t="b">
        <v>1</v>
      </c>
      <c r="K27" t="inlineStr"/>
      <c r="L27" t="inlineStr">
        <is>
          <t>MOLDE
CAMISA POLO MASCULINA
ENVIO
IMEDIATO
POR EMAIL
FIO DO TECIDO
MANGA
PDF
CDR
Adobe
MOLDES
EM TAMANHO
REAL
FIO DO TECIDO
GG F
Ders
M
P
Boza 2
GG
G
GG
G
M
P
PP
M
P
PP
FRENTE
FIO DO TECIDO
COSTA
PRONTO
PARA
IMPRIMIR
ARQUIVOS
ORGANIZADOS
POR TAMANHO
TAMANHOS: PP - P - M - G - GG
FACIL DE USAR
PARA I</t>
        </is>
      </c>
      <c r="M27" t="inlineStr"/>
    </row>
    <row r="28">
      <c r="A28">
        <f>IMAGE("https://http2.mlstatic.com/D_NQ_NP_971292-MLB113619471343_062026-F.webp")</f>
        <v/>
      </c>
      <c r="B28" t="inlineStr">
        <is>
          <t>https://http2.mlstatic.com/D_NQ_NP_971292-MLB113619471343_062026-F.webp</t>
        </is>
      </c>
      <c r="C28" t="inlineStr">
        <is>
          <t>P-delivery</t>
        </is>
      </c>
      <c r="D28" t="b">
        <v>1</v>
      </c>
      <c r="E28" t="b">
        <v>0</v>
      </c>
      <c r="F28" t="inlineStr">
        <is>
          <t>none</t>
        </is>
      </c>
      <c r="G28" t="inlineStr"/>
      <c r="H28" t="inlineStr">
        <is>
          <t>low</t>
        </is>
      </c>
      <c r="I28" t="b">
        <v>0</v>
      </c>
      <c r="J28" t="b">
        <v>0</v>
      </c>
      <c r="K28" t="inlineStr"/>
      <c r="L28" t="inlineStr">
        <is>
          <t>0-000
10
@sunny.multimarcas
www.sunnymultimarcas.com.br
SUNNY
MULTIMARCAS
OKN DE TODAS AS MARCAS A PRONTA ENTREGA
SEMINOVOS COM QUALIDADE E PROCEDENCIA
SUNNY
23
SUNNY
W
SUNNY
B
MS
MOTT
64177-2877
Log
11
MD</t>
        </is>
      </c>
      <c r="M28" t="inlineStr"/>
    </row>
    <row r="29">
      <c r="A29">
        <f>IMAGE("https://http2.mlstatic.com/D_NQ_NP_798026-MLB113617540213_062026-F.webp")</f>
        <v/>
      </c>
      <c r="B29" t="inlineStr">
        <is>
          <t>https://http2.mlstatic.com/D_NQ_NP_798026-MLB113617540213_062026-F.webp</t>
        </is>
      </c>
      <c r="C29" t="inlineStr">
        <is>
          <t>P-delivery</t>
        </is>
      </c>
      <c r="D29" t="b">
        <v>1</v>
      </c>
      <c r="E29" t="b">
        <v>1</v>
      </c>
      <c r="F29" t="inlineStr">
        <is>
          <t>delivery</t>
        </is>
      </c>
      <c r="G29" t="inlineStr">
        <is>
          <t>GARANTIA, QUALIDADE E SATISFAÇAO.</t>
        </is>
      </c>
      <c r="H29" t="inlineStr">
        <is>
          <t>medium</t>
        </is>
      </c>
      <c r="I29" t="b">
        <v>1</v>
      </c>
      <c r="J29" t="b">
        <v>1</v>
      </c>
      <c r="K29" t="inlineStr"/>
      <c r="L29" t="inlineStr">
        <is>
          <t>GARANTIA,
QUALIDADE E
SATISFAÇÃO.
• Garantia de 3 meses
• Nota fiscal
• Produtos a pronta entrega
• Produtos novos
כח
MANDO</t>
        </is>
      </c>
      <c r="M29" t="inlineStr"/>
    </row>
    <row r="30">
      <c r="A30">
        <f>IMAGE("https://http2.mlstatic.com/D_NQ_NP_694262-MLB47220558111_082021-F.webp")</f>
        <v/>
      </c>
      <c r="B30" t="inlineStr">
        <is>
          <t>https://http2.mlstatic.com/D_NQ_NP_694262-MLB47220558111_082021-F.webp</t>
        </is>
      </c>
      <c r="C30" t="inlineStr">
        <is>
          <t>P-delivery</t>
        </is>
      </c>
      <c r="D30" t="b">
        <v>1</v>
      </c>
      <c r="E30" t="b">
        <v>0</v>
      </c>
      <c r="F30" t="inlineStr">
        <is>
          <t>none</t>
        </is>
      </c>
      <c r="G30" t="inlineStr"/>
      <c r="H30" t="inlineStr">
        <is>
          <t>high</t>
        </is>
      </c>
      <c r="I30" t="b">
        <v>1</v>
      </c>
      <c r="J30" t="b">
        <v>1</v>
      </c>
      <c r="K30" t="inlineStr"/>
      <c r="L30" t="inlineStr">
        <is>
          <t xml:space="preserve">100%
PRODUTO
QUALIDADE
FRETE
GRÁTIS
</t>
        </is>
      </c>
      <c r="M30" t="inlineStr"/>
    </row>
    <row r="31">
      <c r="A31">
        <f>IMAGE("https://http2.mlstatic.com/D_NQ_NP_938806-MLA113484193879_062026-F.webp")</f>
        <v/>
      </c>
      <c r="B31" t="inlineStr">
        <is>
          <t>https://http2.mlstatic.com/D_NQ_NP_938806-MLA113484193879_062026-F.webp</t>
        </is>
      </c>
      <c r="C31" t="inlineStr">
        <is>
          <t>P-delivery</t>
        </is>
      </c>
      <c r="D31" t="b">
        <v>1</v>
      </c>
      <c r="E31" t="b">
        <v>0</v>
      </c>
      <c r="F31" t="inlineStr">
        <is>
          <t>none</t>
        </is>
      </c>
      <c r="G31" t="inlineStr"/>
      <c r="H31" t="inlineStr">
        <is>
          <t>low</t>
        </is>
      </c>
      <c r="I31" t="b">
        <v>1</v>
      </c>
      <c r="J31" t="b">
        <v>1</v>
      </c>
      <c r="K31" t="inlineStr"/>
      <c r="L31" t="inlineStr">
        <is>
          <t>EZLIFE
EZLIFE
PATINES EXTENSIBLES EZ LIFE ROSA
Patines infantiles de 4 ruedas (quad), ideales para aprender
a patinar con seguridad y diversión.
Marca: EZ LIFE
Color: Rosa, blanco y gris
Talle regulable: del 26 al 29
Sistema extensible para acompañar el crecimiento del pie
4 ruedas (quad) para mayor</t>
        </is>
      </c>
      <c r="M31" t="inlineStr"/>
    </row>
    <row r="32">
      <c r="A32">
        <f>IMAGE("https://http2.mlstatic.com/D_NQ_NP_713183-MLB112309005682_062026-F.webp")</f>
        <v/>
      </c>
      <c r="B32" t="inlineStr">
        <is>
          <t>https://http2.mlstatic.com/D_NQ_NP_713183-MLB112309005682_062026-F.webp</t>
        </is>
      </c>
      <c r="C32" t="inlineStr">
        <is>
          <t>P-delivery</t>
        </is>
      </c>
      <c r="D32" t="b">
        <v>1</v>
      </c>
      <c r="E32" t="b">
        <v>1</v>
      </c>
      <c r="F32" t="inlineStr">
        <is>
          <t>promo</t>
        </is>
      </c>
      <c r="G32" t="inlineStr">
        <is>
          <t>APENAS R$ 40,00 À VISTA</t>
        </is>
      </c>
      <c r="H32" t="inlineStr">
        <is>
          <t>high</t>
        </is>
      </c>
      <c r="I32" t="b">
        <v>1</v>
      </c>
      <c r="J32" t="b">
        <v>1</v>
      </c>
      <c r="K32" t="inlineStr"/>
      <c r="L32" t="inlineStr">
        <is>
          <t>PROMOÇÃO
IMPERDIVEL
TRATAMENTO PROFISSIONAL PARA CABELOS
FIOS MAIS ESCUROS,
FORTES E SAUDÁVEIS!
RELAXAMENTO
DOS FIOS
ESCURECEDOR
NATURAL
SEM CHEIRO
SEM ARDÊNCIA
RESULTADO
PROFISSIONAL
NOGI HAIR
RELAXAMENTO
ESCURECEDOR DE FIOS
Sem Cheiro
Sem Ardência
1KG
PROMOÇÃO
POR TEMPO
LIMITADO!
TRANSFORME SEU CA</t>
        </is>
      </c>
      <c r="M32" t="inlineStr"/>
    </row>
    <row r="33">
      <c r="A33">
        <f>IMAGE("https://http2.mlstatic.com/D_NQ_NP_687986-MLB112474845722_062026-F.webp")</f>
        <v/>
      </c>
      <c r="B33" t="inlineStr">
        <is>
          <t>https://http2.mlstatic.com/D_NQ_NP_687986-MLB112474845722_062026-F.webp</t>
        </is>
      </c>
      <c r="C33" t="inlineStr">
        <is>
          <t>P-delivery</t>
        </is>
      </c>
      <c r="D33" t="b">
        <v>1</v>
      </c>
      <c r="E33" t="b">
        <v>1</v>
      </c>
      <c r="F33" t="inlineStr">
        <is>
          <t>delivery</t>
        </is>
      </c>
      <c r="G33" t="inlineStr">
        <is>
          <t>Pronta entrega</t>
        </is>
      </c>
      <c r="H33" t="inlineStr">
        <is>
          <t>high</t>
        </is>
      </c>
      <c r="I33" t="b">
        <v>0</v>
      </c>
      <c r="J33" t="b">
        <v>0</v>
      </c>
      <c r="K33" t="inlineStr"/>
      <c r="L33" t="inlineStr">
        <is>
          <t>@ratsmultimarcas
fratsmultimarcas
ZERO KM
Pronta entrega
B
COMPLETO
ROMATICO
KIT MULTIMIDIA
RAT MARCAS
HULTIMARCAS
PERICIADO
APROVADO</t>
        </is>
      </c>
      <c r="M33" t="inlineStr"/>
    </row>
    <row r="34">
      <c r="A34">
        <f>IMAGE("https://http2.mlstatic.com/D_NQ_NP_989760-MLC112458219316_062026-F.webp")</f>
        <v/>
      </c>
      <c r="B34" t="inlineStr">
        <is>
          <t>https://http2.mlstatic.com/D_NQ_NP_989760-MLC112458219316_062026-F.webp</t>
        </is>
      </c>
      <c r="C34" t="inlineStr">
        <is>
          <t>P-delivery</t>
        </is>
      </c>
      <c r="D34" t="b">
        <v>1</v>
      </c>
      <c r="E34" t="b">
        <v>1</v>
      </c>
      <c r="F34" t="inlineStr">
        <is>
          <t>delivery</t>
        </is>
      </c>
      <c r="G34" t="inlineStr">
        <is>
          <t>ENTREGA INMEDIATA</t>
        </is>
      </c>
      <c r="H34" t="inlineStr">
        <is>
          <t>high</t>
        </is>
      </c>
      <c r="I34" t="b">
        <v>1</v>
      </c>
      <c r="J34" t="b">
        <v>1</v>
      </c>
      <c r="K34" t="inlineStr"/>
      <c r="L34" t="inlineStr">
        <is>
          <t>PROPIEDADES RIBB
DEPARTAMENTO
AMOBLADO EN
ARRIENDO
ENTREGA
INMEDIATA
$650.000
+Honorarios Corredor
QUILLOTA
www.propiedadesribb.cl</t>
        </is>
      </c>
      <c r="M34" t="inlineStr"/>
    </row>
    <row r="35">
      <c r="A35">
        <f>IMAGE("https://http2.mlstatic.com/D_NQ_NP_746833-MLB47220557866_082021-F.webp")</f>
        <v/>
      </c>
      <c r="B35" t="inlineStr">
        <is>
          <t>https://http2.mlstatic.com/D_NQ_NP_746833-MLB47220557866_082021-F.webp</t>
        </is>
      </c>
      <c r="C35" t="inlineStr">
        <is>
          <t>P-delivery</t>
        </is>
      </c>
      <c r="D35" t="b">
        <v>1</v>
      </c>
      <c r="E35" t="b">
        <v>0</v>
      </c>
      <c r="F35" t="inlineStr">
        <is>
          <t>none</t>
        </is>
      </c>
      <c r="G35" t="inlineStr"/>
      <c r="H35" t="inlineStr">
        <is>
          <t>high</t>
        </is>
      </c>
      <c r="I35" t="b">
        <v>1</v>
      </c>
      <c r="J35" t="b">
        <v>1</v>
      </c>
      <c r="K35" t="inlineStr"/>
      <c r="L35" t="inlineStr">
        <is>
          <t xml:space="preserve">100%
PRODUTO
QUALIDADE
FRETE
GRÁTIS
</t>
        </is>
      </c>
      <c r="M35" t="inlineStr"/>
    </row>
    <row r="36">
      <c r="A36">
        <f>IMAGE("https://http2.mlstatic.com/D_NQ_NP_959614-MLB109939429942_042026-F.webp")</f>
        <v/>
      </c>
      <c r="B36" t="inlineStr">
        <is>
          <t>https://http2.mlstatic.com/D_NQ_NP_959614-MLB109939429942_042026-F.webp</t>
        </is>
      </c>
      <c r="C36" t="inlineStr">
        <is>
          <t>P-delivery</t>
        </is>
      </c>
      <c r="D36" t="b">
        <v>1</v>
      </c>
      <c r="E36" t="b">
        <v>0</v>
      </c>
      <c r="F36" t="inlineStr">
        <is>
          <t>none</t>
        </is>
      </c>
      <c r="G36" t="inlineStr"/>
      <c r="H36" t="inlineStr">
        <is>
          <t>high</t>
        </is>
      </c>
      <c r="I36" t="b">
        <v>1</v>
      </c>
      <c r="J36" t="b">
        <v>1</v>
      </c>
      <c r="K36" t="inlineStr"/>
      <c r="L36" t="inlineStr">
        <is>
          <t>ENVIO IMEDIATO
SOMOS O
FABRICANTE
CABO REVESTIDO
EM ALUMÍNIO
FÁCIL
LIMPAR
LINHA COMPLETA
PARA SEU
CHURRASCO</t>
        </is>
      </c>
      <c r="M36" t="inlineStr"/>
    </row>
    <row r="37">
      <c r="A37">
        <f>IMAGE("https://http2.mlstatic.com/D_NQ_NP_664283-MLB113367264863_062026-F.webp")</f>
        <v/>
      </c>
      <c r="B37" t="inlineStr">
        <is>
          <t>https://http2.mlstatic.com/D_NQ_NP_664283-MLB113367264863_062026-F.webp</t>
        </is>
      </c>
      <c r="C37" t="inlineStr">
        <is>
          <t>P-delivery</t>
        </is>
      </c>
      <c r="D37" t="b">
        <v>1</v>
      </c>
      <c r="E37" t="b">
        <v>1</v>
      </c>
      <c r="F37" t="inlineStr">
        <is>
          <t>badge</t>
        </is>
      </c>
      <c r="G37" t="inlineStr">
        <is>
          <t>badge</t>
        </is>
      </c>
      <c r="H37" t="inlineStr">
        <is>
          <t>medium</t>
        </is>
      </c>
      <c r="I37" t="b">
        <v>1</v>
      </c>
      <c r="J37" t="b">
        <v>1</v>
      </c>
      <c r="K37" t="inlineStr"/>
      <c r="L37" t="inlineStr">
        <is>
          <t>RESERVATÓRIO
DISPENSER
PEÇA DE REPOSIÇÃO
PRONTA
ENTREGA
ENVIO IMEDIATO
ALTA
QUALIDADE
Material resistente
e durável
PRODUTO
TESTADO
QUALIDADE
GARANTIDA
PRONTA
ENTREGA
Envio rápido para
todo o Brasil
PRODUTO
TESTADO
Testado para garantir
seu perfeito
funcionamento</t>
        </is>
      </c>
      <c r="M37" t="inlineStr"/>
    </row>
    <row r="38">
      <c r="A38">
        <f>IMAGE("https://http2.mlstatic.com/D_NQ_NP_928468-MLB112426023650_062026-F.webp")</f>
        <v/>
      </c>
      <c r="B38" t="inlineStr">
        <is>
          <t>https://http2.mlstatic.com/D_NQ_NP_928468-MLB112426023650_062026-F.webp</t>
        </is>
      </c>
      <c r="C38" t="inlineStr">
        <is>
          <t>P-delivery</t>
        </is>
      </c>
      <c r="D38" t="b">
        <v>1</v>
      </c>
      <c r="E38" t="b">
        <v>1</v>
      </c>
      <c r="F38" t="inlineStr">
        <is>
          <t>delivery</t>
        </is>
      </c>
      <c r="G38" t="inlineStr">
        <is>
          <t>enviamos em até 2 minutos</t>
        </is>
      </c>
      <c r="H38" t="inlineStr">
        <is>
          <t>high</t>
        </is>
      </c>
      <c r="I38" t="b">
        <v>1</v>
      </c>
      <c r="J38" t="b">
        <v>1</v>
      </c>
      <c r="K38" t="inlineStr"/>
      <c r="L38" t="inlineStr">
        <is>
          <t>INSTRUCÕES TÉCNICAS PARA
WINDOWS SERVER 2019-16CORIE
*****
ENTREGA
ENTREGA IMEDIATA
PREMIUM
16CORE
LINKS SEGUROS
GUIA COMPETO &amp; MDP
SUPORTE SIMPLES
Windows Server 16Core 2019
ESSENTIALS (STANDARD
DATACENTER
PRODUTO DIGITAL
ENVIAMOS EM ATÉ 2 MINUTOS!
APOS A COMPRA ENTRE EN CONTAÓ NO CHAT
XXXXX-XXXXX-</t>
        </is>
      </c>
      <c r="M38" t="inlineStr"/>
    </row>
    <row r="39">
      <c r="A39">
        <f>IMAGE("https://http2.mlstatic.com/D_NQ_NP_992382-MLB113362647389_062026-F.webp")</f>
        <v/>
      </c>
      <c r="B39" t="inlineStr">
        <is>
          <t>https://http2.mlstatic.com/D_NQ_NP_992382-MLB113362647389_062026-F.webp</t>
        </is>
      </c>
      <c r="C39" t="inlineStr">
        <is>
          <t>P-delivery</t>
        </is>
      </c>
      <c r="D39" t="b">
        <v>1</v>
      </c>
      <c r="E39" t="b">
        <v>0</v>
      </c>
      <c r="F39" t="inlineStr">
        <is>
          <t>none</t>
        </is>
      </c>
      <c r="G39" t="inlineStr"/>
      <c r="H39" t="inlineStr">
        <is>
          <t>low</t>
        </is>
      </c>
      <c r="I39" t="b">
        <v>1</v>
      </c>
      <c r="J39" t="b">
        <v>1</v>
      </c>
      <c r="K39" t="inlineStr"/>
      <c r="L39" t="inlineStr">
        <is>
          <t>Valor do par
Aplicação: Chevrolet
Silverado 97&gt;02
A pronta entrega
Modelo original</t>
        </is>
      </c>
      <c r="M39" t="inlineStr"/>
    </row>
    <row r="40">
      <c r="A40">
        <f>IMAGE("https://http2.mlstatic.com/D_NQ_NP_771351-MLB113640773221_062026-F.webp")</f>
        <v/>
      </c>
      <c r="B40" t="inlineStr">
        <is>
          <t>https://http2.mlstatic.com/D_NQ_NP_771351-MLB113640773221_062026-F.webp</t>
        </is>
      </c>
      <c r="C40" t="inlineStr">
        <is>
          <t>P-delivery</t>
        </is>
      </c>
      <c r="D40" t="b">
        <v>1</v>
      </c>
      <c r="E40" t="b">
        <v>0</v>
      </c>
      <c r="F40" t="inlineStr">
        <is>
          <t>none</t>
        </is>
      </c>
      <c r="G40" t="inlineStr"/>
      <c r="H40" t="inlineStr">
        <is>
          <t>low</t>
        </is>
      </c>
      <c r="I40" t="b">
        <v>0</v>
      </c>
      <c r="J40" t="b">
        <v>0</v>
      </c>
      <c r="K40" t="inlineStr"/>
      <c r="L40" t="inlineStr">
        <is>
          <t>4300Km
@ratsmultimarcas
fratsmultimarcas
Jeop
0000000
6
ZERO KM
Pronta entrega
RATS
HULTIMARCAS
H
E
MULTIMIDIA
000Km</t>
        </is>
      </c>
      <c r="M40" t="inlineStr"/>
    </row>
    <row r="41">
      <c r="A41">
        <f>IMAGE("https://http2.mlstatic.com/D_NQ_NP_689973-MLB113516956221_062026-F.webp")</f>
        <v/>
      </c>
      <c r="B41" t="inlineStr">
        <is>
          <t>https://http2.mlstatic.com/D_NQ_NP_689973-MLB113516956221_062026-F.webp</t>
        </is>
      </c>
      <c r="C41" t="inlineStr">
        <is>
          <t>P-delivery</t>
        </is>
      </c>
      <c r="D41" t="b">
        <v>1</v>
      </c>
      <c r="E41" t="b">
        <v>1</v>
      </c>
      <c r="F41" t="inlineStr">
        <is>
          <t>badge</t>
        </is>
      </c>
      <c r="G41" t="inlineStr">
        <is>
          <t>un sello con texto como 'Recomendado' o 'Hot Sale'</t>
        </is>
      </c>
      <c r="H41" t="inlineStr">
        <is>
          <t>medium</t>
        </is>
      </c>
      <c r="I41" t="b">
        <v>1</v>
      </c>
      <c r="J41" t="b">
        <v>1</v>
      </c>
      <c r="K41" t="inlineStr"/>
      <c r="L41" t="inlineStr">
        <is>
          <t>११११
Figolite
R$ 4.000 75 OFF
12x R$ 33333 sem juros com cartão Mercado Pago
R$ 25 de cashback em Meli Dólar com seu Cartão de
Crédito Mercado Pago mell
Meios de pagamento
Frete grátis
Miteról Dia Do lonaire
VISA GLO
6/8
00
0+
Inicio
Categorias
Carrinho
Videos
Mais</t>
        </is>
      </c>
      <c r="M41" t="inlineStr"/>
    </row>
    <row r="42">
      <c r="A42">
        <f>IMAGE("https://http2.mlstatic.com/D_NQ_NP_685638-MLB112359457396_062026-F.webp")</f>
        <v/>
      </c>
      <c r="B42" t="inlineStr">
        <is>
          <t>https://http2.mlstatic.com/D_NQ_NP_685638-MLB112359457396_062026-F.webp</t>
        </is>
      </c>
      <c r="C42" t="inlineStr">
        <is>
          <t>P-delivery</t>
        </is>
      </c>
      <c r="D42" t="b">
        <v>1</v>
      </c>
      <c r="E42" t="b">
        <v>0</v>
      </c>
      <c r="F42" t="inlineStr">
        <is>
          <t>none</t>
        </is>
      </c>
      <c r="G42" t="inlineStr">
        <is>
          <t>text and product image</t>
        </is>
      </c>
      <c r="H42" t="inlineStr">
        <is>
          <t>high</t>
        </is>
      </c>
      <c r="I42" t="b">
        <v>1</v>
      </c>
      <c r="J42" t="b">
        <v>1</v>
      </c>
      <c r="K42" t="inlineStr"/>
      <c r="L42" t="inlineStr">
        <is>
          <t>PAR DE BUCHAS
PAR DE BUCHAS SAMPEL
DA BANDEJA DIANTEIRA
COMPATÍVEL COM:
✓ CORSA CLASSIC - 2004 ATÉ 2016
✓ CORSA - 1994 ATÉ 2002
✓ CELTA - 2000 ATÉ 2016
✓ PRISMA - 2006 ATÉ 2012
2X
CONTEÚDO DO KIT:
COXIM SUPERIOR DO
AMORTECEDOR DIANT. - SAMPEL
REDUZ
X RUÍDOS E
VIBRAÇÕES
COO
MAIS
CONFORTO E
PRODUTO NO</t>
        </is>
      </c>
      <c r="M42" t="inlineStr"/>
    </row>
    <row r="43">
      <c r="A43">
        <f>IMAGE("https://http2.mlstatic.com/D_NQ_NP_822800-MLB112205847102_062026-F.webp")</f>
        <v/>
      </c>
      <c r="B43" t="inlineStr">
        <is>
          <t>https://http2.mlstatic.com/D_NQ_NP_822800-MLB112205847102_062026-F.webp</t>
        </is>
      </c>
      <c r="C43" t="inlineStr">
        <is>
          <t>P-delivery</t>
        </is>
      </c>
      <c r="D43" t="b">
        <v>1</v>
      </c>
      <c r="E43" t="b">
        <v>1</v>
      </c>
      <c r="F43" t="inlineStr">
        <is>
          <t>badge</t>
        </is>
      </c>
      <c r="G43" t="inlineStr">
        <is>
          <t>textos u objetos sobrepuestos concreto</t>
        </is>
      </c>
      <c r="H43" t="inlineStr">
        <is>
          <t>medium</t>
        </is>
      </c>
      <c r="I43" t="b">
        <v>1</v>
      </c>
      <c r="J43" t="b">
        <v>1</v>
      </c>
      <c r="K43" t="inlineStr"/>
      <c r="L43" t="inlineStr">
        <is>
          <t>Modelo original
Conector 6 pinos
A pronta entrega</t>
        </is>
      </c>
      <c r="M43" t="inlineStr"/>
    </row>
    <row r="44">
      <c r="A44">
        <f>IMAGE("https://http2.mlstatic.com/D_NQ_NP_695645-MLB82794486261_022025-F.webp")</f>
        <v/>
      </c>
      <c r="B44" t="inlineStr">
        <is>
          <t>https://http2.mlstatic.com/D_NQ_NP_695645-MLB82794486261_022025-F.webp</t>
        </is>
      </c>
      <c r="C44" t="inlineStr">
        <is>
          <t>P-delivery</t>
        </is>
      </c>
      <c r="D44" t="b">
        <v>1</v>
      </c>
      <c r="E44" t="b">
        <v>1</v>
      </c>
      <c r="F44" t="inlineStr">
        <is>
          <t>delivery</t>
        </is>
      </c>
      <c r="G44" t="inlineStr">
        <is>
          <t>Entrega mais rápida do Brasil</t>
        </is>
      </c>
      <c r="H44" t="inlineStr">
        <is>
          <t>high</t>
        </is>
      </c>
      <c r="I44" t="b">
        <v>1</v>
      </c>
      <c r="J44" t="b">
        <v>1</v>
      </c>
      <c r="K44" t="inlineStr"/>
      <c r="L44" t="inlineStr">
        <is>
          <t>Bem vindos à
BENDITO PRODUTO LTDA
Entrega mais rápida do Brasil
ESTAMOS NO FULL
FLEX
Compra segura
Embalado com
carinho
Devolução
gratuita em até
30 dias
Mercado Líder de
qualidade. Vendemos
há mais de 3 anos no
Mercado Livre.
Adicione mais de 1 produto em seu carrinho, ultrapasse o
valor de R$79,00</t>
        </is>
      </c>
      <c r="M44" t="inlineStr"/>
    </row>
    <row r="45">
      <c r="A45">
        <f>IMAGE("https://http2.mlstatic.com/D_NQ_NP_819175-MLB113477278683_062026-F.webp")</f>
        <v/>
      </c>
      <c r="B45" t="inlineStr">
        <is>
          <t>https://http2.mlstatic.com/D_NQ_NP_819175-MLB113477278683_062026-F.webp</t>
        </is>
      </c>
      <c r="C45" t="inlineStr">
        <is>
          <t>P-delivery</t>
        </is>
      </c>
      <c r="D45" t="b">
        <v>1</v>
      </c>
      <c r="E45" t="b">
        <v>1</v>
      </c>
      <c r="F45" t="inlineStr">
        <is>
          <t>delivery</t>
        </is>
      </c>
      <c r="G45" t="inlineStr">
        <is>
          <t>Envio Imediato</t>
        </is>
      </c>
      <c r="H45" t="inlineStr">
        <is>
          <t>high</t>
        </is>
      </c>
      <c r="I45" t="b">
        <v>1</v>
      </c>
      <c r="J45" t="b">
        <v>1</v>
      </c>
      <c r="K45" t="inlineStr"/>
      <c r="L45" t="inlineStr">
        <is>
          <t>Block
Mania
com 48 peças
Envio
Imediato</t>
        </is>
      </c>
      <c r="M45" t="inlineStr"/>
    </row>
    <row r="46">
      <c r="A46">
        <f>IMAGE("https://http2.mlstatic.com/D_NQ_NP_924773-MLB112426075304_062026-F.webp")</f>
        <v/>
      </c>
      <c r="B46" t="inlineStr">
        <is>
          <t>https://http2.mlstatic.com/D_NQ_NP_924773-MLB112426075304_062026-F.webp</t>
        </is>
      </c>
      <c r="C46" t="inlineStr">
        <is>
          <t>P-delivery</t>
        </is>
      </c>
      <c r="D46" t="b">
        <v>1</v>
      </c>
      <c r="E46" t="b">
        <v>0</v>
      </c>
      <c r="F46" t="inlineStr">
        <is>
          <t>none</t>
        </is>
      </c>
      <c r="G46" t="inlineStr"/>
      <c r="H46" t="inlineStr">
        <is>
          <t>low</t>
        </is>
      </c>
      <c r="I46" t="b">
        <v>1</v>
      </c>
      <c r="J46" t="b">
        <v>1</v>
      </c>
      <c r="K46" t="inlineStr"/>
      <c r="L46" t="inlineStr">
        <is>
          <t>INSTRUCOES TÉCNICAS PARA
WINDOWS SERVER 2019 - 8CORE
*****
ENTREGA
PREMIUM
8CORE
ENTREGA IMEDIATA
LINKS SEGUROS
GUIA COMPLETEM PDF
SUPORTE SIMPLES
Windows Server 8Core 2019
ESSENTIALS (STANDARD DATACENTER
PRODUTO DIGITAL
IMAGEN ILUSTRATIVA
PEFICEA LUTATFIDORS
XXXXX-XXXXX-XXXXX-XXNXXXS
XXXXX-XXXX-XXX</t>
        </is>
      </c>
      <c r="M46" t="inlineStr"/>
    </row>
    <row r="47">
      <c r="A47">
        <f>IMAGE("https://http2.mlstatic.com/D_NQ_NP_919208-MLA113364504931_062026-F.webp")</f>
        <v/>
      </c>
      <c r="B47" t="inlineStr">
        <is>
          <t>https://http2.mlstatic.com/D_NQ_NP_919208-MLA113364504931_062026-F.webp</t>
        </is>
      </c>
      <c r="C47" t="inlineStr">
        <is>
          <t>P-delivery</t>
        </is>
      </c>
      <c r="D47" t="b">
        <v>1</v>
      </c>
      <c r="E47" t="b">
        <v>1</v>
      </c>
      <c r="F47" t="inlineStr">
        <is>
          <t>delivery</t>
        </is>
      </c>
      <c r="G47" t="inlineStr">
        <is>
          <t>CABA Y GBA ENVIO EN EL DIA MERCADO ENVIOS A TODO EL PAIS</t>
        </is>
      </c>
      <c r="H47" t="inlineStr">
        <is>
          <t>high</t>
        </is>
      </c>
      <c r="I47" t="b">
        <v>1</v>
      </c>
      <c r="J47" t="b">
        <v>1</v>
      </c>
      <c r="K47" t="inlineStr"/>
      <c r="L47" t="inlineStr">
        <is>
          <t>Zivale
亭
CABA Y GBA
ENVIO
EN EL DIA
MERCADO
ENVIOS A
TODO EL PAIS
RETIROS EN EL LOCAL</t>
        </is>
      </c>
      <c r="M47" t="inlineStr"/>
    </row>
    <row r="48">
      <c r="A48">
        <f>IMAGE("https://http2.mlstatic.com/D_NQ_NP_754913-MLA99498861052_112025-F.webp")</f>
        <v/>
      </c>
      <c r="B48" t="inlineStr">
        <is>
          <t>https://http2.mlstatic.com/D_NQ_NP_754913-MLA99498861052_112025-F.webp</t>
        </is>
      </c>
      <c r="C48" t="inlineStr">
        <is>
          <t>P-delivery</t>
        </is>
      </c>
      <c r="D48" t="b">
        <v>1</v>
      </c>
      <c r="E48" t="b">
        <v>1</v>
      </c>
      <c r="F48" t="inlineStr">
        <is>
          <t>delivery</t>
        </is>
      </c>
      <c r="G48" t="inlineStr">
        <is>
          <t>Frete Grátis</t>
        </is>
      </c>
      <c r="H48" t="inlineStr">
        <is>
          <t>high</t>
        </is>
      </c>
      <c r="I48" t="b">
        <v>1</v>
      </c>
      <c r="J48" t="b">
        <v>1</v>
      </c>
      <c r="K48" t="inlineStr"/>
      <c r="L48" t="inlineStr">
        <is>
          <t>YGM Malas
K
Pode levar na cabine de avião Material Fibra Rigida
8
Senha Númerica
360 e
removíveis
Com zíper expansivel
Com garantia
Frete
Grátis
Pronta Entrega</t>
        </is>
      </c>
      <c r="M48" t="inlineStr"/>
    </row>
    <row r="49">
      <c r="A49">
        <f>IMAGE("https://http2.mlstatic.com/D_NQ_NP_828435-MLB113629069793_062026-F.webp")</f>
        <v/>
      </c>
      <c r="B49" t="inlineStr">
        <is>
          <t>https://http2.mlstatic.com/D_NQ_NP_828435-MLB113629069793_062026-F.webp</t>
        </is>
      </c>
      <c r="C49" t="inlineStr">
        <is>
          <t>P-delivery</t>
        </is>
      </c>
      <c r="D49" t="b">
        <v>1</v>
      </c>
      <c r="E49" t="b">
        <v>0</v>
      </c>
      <c r="F49" t="inlineStr">
        <is>
          <t>none</t>
        </is>
      </c>
      <c r="G49" t="inlineStr"/>
      <c r="H49" t="inlineStr">
        <is>
          <t>low</t>
        </is>
      </c>
      <c r="I49" t="b">
        <v>0</v>
      </c>
      <c r="J49" t="b">
        <v>0</v>
      </c>
      <c r="K49" t="inlineStr"/>
      <c r="L49" t="inlineStr">
        <is>
          <t>Espaço do Revendedor
Grupo Boticário
CADASTREA
SEU ESPAÇO DE
MULTIEXPERIÊNCIAS
E PRONTA-ENTREGA
ESTA CHE DO
Vecuas
As marcas amadas
pelos brasileiros juntas
em um só lugar
0000</t>
        </is>
      </c>
      <c r="M49" t="inlineStr"/>
    </row>
    <row r="50">
      <c r="A50">
        <f>IMAGE("https://http2.mlstatic.com/D_NQ_NP_747263-MLB49326733264_032022-F.webp")</f>
        <v/>
      </c>
      <c r="B50" t="inlineStr">
        <is>
          <t>https://http2.mlstatic.com/D_NQ_NP_747263-MLB49326733264_032022-F.webp</t>
        </is>
      </c>
      <c r="C50" t="inlineStr">
        <is>
          <t>P-delivery</t>
        </is>
      </c>
      <c r="D50" t="b">
        <v>1</v>
      </c>
      <c r="E50" t="b">
        <v>1</v>
      </c>
      <c r="F50" t="inlineStr">
        <is>
          <t>delivery</t>
        </is>
      </c>
      <c r="G50" t="inlineStr">
        <is>
          <t>PRONTA ENTREGA Envio Imediato</t>
        </is>
      </c>
      <c r="H50" t="inlineStr">
        <is>
          <t>high</t>
        </is>
      </c>
      <c r="I50" t="b">
        <v>1</v>
      </c>
      <c r="J50" t="b">
        <v>1</v>
      </c>
      <c r="K50" t="inlineStr"/>
      <c r="L50" t="inlineStr">
        <is>
          <t xml:space="preserve">PRONTA
ENTREGA
Envio Imediato
Prazo máximo para postagem 24h
</t>
        </is>
      </c>
      <c r="M50" t="inlineStr"/>
    </row>
    <row r="51">
      <c r="A51">
        <f>IMAGE("https://http2.mlstatic.com/D_NQ_NP_904289-MLB112497709330_062026-F.webp")</f>
        <v/>
      </c>
      <c r="B51" t="inlineStr">
        <is>
          <t>https://http2.mlstatic.com/D_NQ_NP_904289-MLB112497709330_062026-F.webp</t>
        </is>
      </c>
      <c r="C51" t="inlineStr">
        <is>
          <t>P-delivery</t>
        </is>
      </c>
      <c r="D51" t="b">
        <v>1</v>
      </c>
      <c r="E51" t="b">
        <v>1</v>
      </c>
      <c r="F51" t="inlineStr">
        <is>
          <t>badge</t>
        </is>
      </c>
      <c r="G51" t="inlineStr">
        <is>
          <t>un sello con texto como 'Recomendado' dibujado sobre la imagen</t>
        </is>
      </c>
      <c r="H51" t="inlineStr">
        <is>
          <t>medium</t>
        </is>
      </c>
      <c r="I51" t="b">
        <v>1</v>
      </c>
      <c r="J51" t="b">
        <v>1</v>
      </c>
      <c r="K51" t="inlineStr"/>
      <c r="L51" t="inlineStr">
        <is>
          <t>07:45 1
60
70 G
Chegou o seu
CARARIANO
Hond
70
Chegou o seu
CANARINHO
ifood
Mercado Pago
R$ 50 OFF
Até 3% de cashback
20% OFF Saldo no Mercado Paga
Melos de pagamento
FRETE GRATIS ACIMA DE R$ 19
Pedir
Inicio
Categorias
Carrinho
Videos
1/6
Mais</t>
        </is>
      </c>
      <c r="M51" t="inlineStr"/>
    </row>
    <row r="52">
      <c r="A52">
        <f>IMAGE("https://http2.mlstatic.com/D_NQ_NP_853434-MLB113362617215_062026-F.webp")</f>
        <v/>
      </c>
      <c r="B52" t="inlineStr">
        <is>
          <t>https://http2.mlstatic.com/D_NQ_NP_853434-MLB113362617215_062026-F.webp</t>
        </is>
      </c>
      <c r="C52" t="inlineStr">
        <is>
          <t>P-delivery</t>
        </is>
      </c>
      <c r="D52" t="b">
        <v>1</v>
      </c>
      <c r="E52" t="b">
        <v>0</v>
      </c>
      <c r="F52" t="inlineStr">
        <is>
          <t>none</t>
        </is>
      </c>
      <c r="G52" t="inlineStr"/>
      <c r="H52" t="inlineStr">
        <is>
          <t>low</t>
        </is>
      </c>
      <c r="I52" t="b">
        <v>1</v>
      </c>
      <c r="J52" t="b">
        <v>1</v>
      </c>
      <c r="K52" t="inlineStr"/>
      <c r="L52" t="inlineStr">
        <is>
          <t>Valor do par
Aplicação: Chevrolet
Silverado 97&gt;02
A pronta entrega
Modelo original</t>
        </is>
      </c>
      <c r="M52" t="inlineStr"/>
    </row>
    <row r="53">
      <c r="A53">
        <f>IMAGE("https://http2.mlstatic.com/D_NQ_NP_902693-MLB112318684602_062026-F.webp")</f>
        <v/>
      </c>
      <c r="B53" t="inlineStr">
        <is>
          <t>https://http2.mlstatic.com/D_NQ_NP_902693-MLB112318684602_062026-F.webp</t>
        </is>
      </c>
      <c r="C53" t="inlineStr">
        <is>
          <t>P-delivery</t>
        </is>
      </c>
      <c r="D53" t="b">
        <v>1</v>
      </c>
      <c r="E53" t="b">
        <v>0</v>
      </c>
      <c r="F53" t="inlineStr">
        <is>
          <t>none</t>
        </is>
      </c>
      <c r="G53" t="inlineStr"/>
      <c r="H53" t="inlineStr">
        <is>
          <t>low</t>
        </is>
      </c>
      <c r="I53" t="b">
        <v>1</v>
      </c>
      <c r="J53" t="b">
        <v>1</v>
      </c>
      <c r="K53" t="inlineStr"/>
      <c r="L53" t="inlineStr">
        <is>
          <t>PRONTA
ENTREGA
Envio Imediato*
Prazo máximo para postagem 24h</t>
        </is>
      </c>
      <c r="M53" t="inlineStr"/>
    </row>
    <row r="54">
      <c r="A54">
        <f>IMAGE("https://http2.mlstatic.com/D_NQ_NP_685556-MLA99450929120_112025-F.webp")</f>
        <v/>
      </c>
      <c r="B54" t="inlineStr">
        <is>
          <t>https://http2.mlstatic.com/D_NQ_NP_685556-MLA99450929120_112025-F.webp</t>
        </is>
      </c>
      <c r="C54" t="inlineStr">
        <is>
          <t>P-delivery</t>
        </is>
      </c>
      <c r="D54" t="b">
        <v>1</v>
      </c>
      <c r="E54" t="b">
        <v>1</v>
      </c>
      <c r="F54" t="inlineStr">
        <is>
          <t>delivery</t>
        </is>
      </c>
      <c r="G54" t="inlineStr">
        <is>
          <t>Frete Grátis</t>
        </is>
      </c>
      <c r="H54" t="inlineStr">
        <is>
          <t>high</t>
        </is>
      </c>
      <c r="I54" t="b">
        <v>1</v>
      </c>
      <c r="J54" t="b">
        <v>1</v>
      </c>
      <c r="K54" t="inlineStr"/>
      <c r="L54" t="inlineStr">
        <is>
          <t>YGM Malas
*
Pode levar na cabine do avião Material Fibra Rigida
8
Senha Númerica
360 e
removíveis
Com zíper expansivel
Com garantia
Frete
Grátis
Pronta Entrega</t>
        </is>
      </c>
      <c r="M54" t="inlineStr"/>
    </row>
    <row r="55">
      <c r="A55">
        <f>IMAGE("https://http2.mlstatic.com/D_NQ_NP_742640-MLB113549498781_062026-F.webp")</f>
        <v/>
      </c>
      <c r="B55" t="inlineStr">
        <is>
          <t>https://http2.mlstatic.com/D_NQ_NP_742640-MLB113549498781_062026-F.webp</t>
        </is>
      </c>
      <c r="C55" t="inlineStr">
        <is>
          <t>P-delivery</t>
        </is>
      </c>
      <c r="D55" t="b">
        <v>1</v>
      </c>
      <c r="E55" t="b">
        <v>0</v>
      </c>
      <c r="F55" t="inlineStr">
        <is>
          <t>none</t>
        </is>
      </c>
      <c r="G55" t="inlineStr"/>
      <c r="H55" t="inlineStr">
        <is>
          <t>low</t>
        </is>
      </c>
      <c r="I55" t="b">
        <v>1</v>
      </c>
      <c r="J55" t="b">
        <v>1</v>
      </c>
      <c r="K55" t="inlineStr"/>
      <c r="L55" t="inlineStr">
        <is>
          <t>18:49
人
(
AQUÁRIO
FRETE GRATIS ACIMA DE RS 19
Chegara gratis sábado
Mais detalhes e formas de entrega
Retire grátis a partir de sábado em uma agência Mercado
OD
1/5
Inicio
Categorias
Carrinho
Videos</t>
        </is>
      </c>
      <c r="M55" t="inlineStr"/>
    </row>
    <row r="56">
      <c r="A56">
        <f>IMAGE("https://http2.mlstatic.com/D_NQ_NP_940683-MLB113371480769_062026-F.webp")</f>
        <v/>
      </c>
      <c r="B56" t="inlineStr">
        <is>
          <t>https://http2.mlstatic.com/D_NQ_NP_940683-MLB113371480769_062026-F.webp</t>
        </is>
      </c>
      <c r="C56" t="inlineStr">
        <is>
          <t>P-delivery</t>
        </is>
      </c>
      <c r="D56" t="b">
        <v>1</v>
      </c>
      <c r="E56" t="b">
        <v>1</v>
      </c>
      <c r="F56" t="inlineStr">
        <is>
          <t>delivery</t>
        </is>
      </c>
      <c r="G56" t="inlineStr">
        <is>
          <t>ENVIO IMEDIATO</t>
        </is>
      </c>
      <c r="H56" t="inlineStr">
        <is>
          <t>high</t>
        </is>
      </c>
      <c r="I56" t="b">
        <v>1</v>
      </c>
      <c r="J56" t="b">
        <v>1</v>
      </c>
      <c r="K56" t="inlineStr"/>
      <c r="L56" t="inlineStr">
        <is>
          <t>៣
ENVIO IMEDIATO
KIT COM 50 UNIDADES
SEM ELÁSTICO
MMIGRA
DISTRIBUIDORA
TAMANHO
2,00m x 0,90m</t>
        </is>
      </c>
      <c r="M56" t="inlineStr"/>
    </row>
    <row r="57">
      <c r="A57">
        <f>IMAGE("https://http2.mlstatic.com/D_NQ_NP_735624-MLB113415442489_062026-F.webp")</f>
        <v/>
      </c>
      <c r="B57" t="inlineStr">
        <is>
          <t>https://http2.mlstatic.com/D_NQ_NP_735624-MLB113415442489_062026-F.webp</t>
        </is>
      </c>
      <c r="C57" t="inlineStr">
        <is>
          <t>P-delivery</t>
        </is>
      </c>
      <c r="D57" t="b">
        <v>1</v>
      </c>
      <c r="E57" t="b">
        <v>1</v>
      </c>
      <c r="F57" t="inlineStr">
        <is>
          <t>badge</t>
        </is>
      </c>
      <c r="G57" t="inlineStr">
        <is>
          <t>logos de marca o del fabricante</t>
        </is>
      </c>
      <c r="H57" t="inlineStr">
        <is>
          <t>low</t>
        </is>
      </c>
      <c r="I57" t="b">
        <v>1</v>
      </c>
      <c r="J57" t="b">
        <v>1</v>
      </c>
      <c r="K57" t="inlineStr"/>
      <c r="L57" t="inlineStr">
        <is>
          <t>YSE
T
YSE
VEÍCULOS
yseveiculos.com.br (19) 3342-3922
B
YSE
VEICULOS
HYUNDAI CRETA
PRESTIGE 2.0
2020
2.0 FLEX
167 CV
AUTOMÁTICO
6 MARCHAS
BRANCO
PRONTA
ENTREGA</t>
        </is>
      </c>
      <c r="M57" t="inlineStr"/>
    </row>
    <row r="58">
      <c r="A58">
        <f>IMAGE("https://http2.mlstatic.com/D_NQ_NP_860031-MLB112218277996_062026-F.webp")</f>
        <v/>
      </c>
      <c r="B58" t="inlineStr">
        <is>
          <t>https://http2.mlstatic.com/D_NQ_NP_860031-MLB112218277996_062026-F.webp</t>
        </is>
      </c>
      <c r="C58" t="inlineStr">
        <is>
          <t>P-delivery</t>
        </is>
      </c>
      <c r="D58" t="b">
        <v>1</v>
      </c>
      <c r="E58" t="b">
        <v>0</v>
      </c>
      <c r="F58" t="inlineStr">
        <is>
          <t>none</t>
        </is>
      </c>
      <c r="G58" t="inlineStr"/>
      <c r="H58" t="inlineStr">
        <is>
          <t>low</t>
        </is>
      </c>
      <c r="I58" t="b">
        <v>0</v>
      </c>
      <c r="J58" t="b">
        <v>0</v>
      </c>
      <c r="K58" t="inlineStr"/>
      <c r="L58" t="inlineStr">
        <is>
          <t>DER DE TODAS AS MARCAS A PRONTA ENTREGA
SENOVOS COM QUALIDADE E PROCEDENCIA
DANTAS
550-4315
SUNN
B
Jano
W
ULTI
1-2871</t>
        </is>
      </c>
      <c r="M58" t="inlineStr"/>
    </row>
    <row r="59">
      <c r="A59">
        <f>IMAGE("https://http2.mlstatic.com/D_NQ_NP_738670-MLA103993697809_012026-F.webp")</f>
        <v/>
      </c>
      <c r="B59" t="inlineStr">
        <is>
          <t>https://http2.mlstatic.com/D_NQ_NP_738670-MLA103993697809_012026-F.webp</t>
        </is>
      </c>
      <c r="C59" t="inlineStr">
        <is>
          <t>P-delivery</t>
        </is>
      </c>
      <c r="D59" t="b">
        <v>1</v>
      </c>
      <c r="E59" t="b">
        <v>1</v>
      </c>
      <c r="F59" t="inlineStr">
        <is>
          <t>delivery</t>
        </is>
      </c>
      <c r="G59" t="inlineStr">
        <is>
          <t>Frete Grátis</t>
        </is>
      </c>
      <c r="H59" t="inlineStr">
        <is>
          <t>high</t>
        </is>
      </c>
      <c r="I59" t="b">
        <v>1</v>
      </c>
      <c r="J59" t="b">
        <v>1</v>
      </c>
      <c r="K59" t="inlineStr"/>
      <c r="L59" t="inlineStr">
        <is>
          <t>YGM Malas
*
Pode levar na cabine do avião Material Fibra Rigida
8
Senha Númerica
360 e
removíveis
Com zíper expansivel
Com garantia
Frete
Grátis
Pronta Entrega</t>
        </is>
      </c>
      <c r="M59" t="inlineStr"/>
    </row>
    <row r="60">
      <c r="A60">
        <f>IMAGE("https://http2.mlstatic.com/D_NQ_NP_830002-MLA31541682491_072019-F.webp")</f>
        <v/>
      </c>
      <c r="B60" t="inlineStr">
        <is>
          <t>https://http2.mlstatic.com/D_NQ_NP_830002-MLA31541682491_072019-F.webp</t>
        </is>
      </c>
      <c r="C60" t="inlineStr">
        <is>
          <t>P-delivery</t>
        </is>
      </c>
      <c r="D60" t="b">
        <v>1</v>
      </c>
      <c r="E60" t="b">
        <v>0</v>
      </c>
      <c r="F60" t="inlineStr">
        <is>
          <t>none</t>
        </is>
      </c>
      <c r="G60" t="inlineStr"/>
      <c r="H60" t="inlineStr">
        <is>
          <t>low</t>
        </is>
      </c>
      <c r="I60" t="b">
        <v>1</v>
      </c>
      <c r="J60" t="b">
        <v>1</v>
      </c>
      <c r="K60" t="inlineStr"/>
      <c r="L60" t="inlineStr">
        <is>
          <t>lolo
Quienes Somos
Envios / Retire
Somos libreros hace más de una década. Nuestro catálogo supera los 8.000.000 libros.
Si no tenemos el libro que estás buscando lo conseguimos para usted. Estamos asociados a grandes librerías
en todo mundo y por eso podemos ofrecerle un precio competitivo.
Todos nu</t>
        </is>
      </c>
      <c r="M60" t="inlineStr"/>
    </row>
    <row r="61">
      <c r="A61">
        <f>IMAGE("https://http2.mlstatic.com/D_NQ_NP_921791-MLB113667150269_062026-F.webp")</f>
        <v/>
      </c>
      <c r="B61" t="inlineStr">
        <is>
          <t>https://http2.mlstatic.com/D_NQ_NP_921791-MLB113667150269_062026-F.webp</t>
        </is>
      </c>
      <c r="C61" t="inlineStr">
        <is>
          <t>P-delivery</t>
        </is>
      </c>
      <c r="D61" t="b">
        <v>1</v>
      </c>
      <c r="E61" t="b">
        <v>1</v>
      </c>
      <c r="F61" t="inlineStr">
        <is>
          <t>badge</t>
        </is>
      </c>
      <c r="G61" t="inlineStr">
        <is>
          <t>LAUDO CAUTELAR APROVADO</t>
        </is>
      </c>
      <c r="H61" t="inlineStr">
        <is>
          <t>high</t>
        </is>
      </c>
      <c r="I61" t="b">
        <v>0</v>
      </c>
      <c r="J61" t="b">
        <v>0</v>
      </c>
      <c r="K61" t="inlineStr"/>
      <c r="L61" t="inlineStr">
        <is>
          <t>LAUDO
Com
GNV
CAUTELAR
APROVADO
SV
AUTOMÓVEIS
(11) 6200 996-14014-0
SVVERDEAUTOMOVEIS.COM.BR
SH/NERAY
do Brasil
OKM
TODAS AS MARCAS Pronta Entrega
AUTOMÓVEIS
TO
CHERRY
TIGGO 2
Ano
2019
SEGUNDO
IMPECÁVEL
DONO
AUTOMÓVEIS</t>
        </is>
      </c>
      <c r="M61" t="inlineStr"/>
    </row>
    <row r="62">
      <c r="A62">
        <f>IMAGE("https://http2.mlstatic.com/D_NQ_NP_628969-MLM113383644219_062026-F.webp")</f>
        <v/>
      </c>
      <c r="B62" t="inlineStr">
        <is>
          <t>https://http2.mlstatic.com/D_NQ_NP_628969-MLM113383644219_062026-F.webp</t>
        </is>
      </c>
      <c r="C62" t="inlineStr">
        <is>
          <t>P-delivery</t>
        </is>
      </c>
      <c r="D62" t="b">
        <v>1</v>
      </c>
      <c r="E62" t="b">
        <v>1</v>
      </c>
      <c r="F62" t="inlineStr">
        <is>
          <t>badge</t>
        </is>
      </c>
      <c r="G62" t="inlineStr">
        <is>
          <t>un sello con texto como 'Recomendado' o 'Hot Sale'</t>
        </is>
      </c>
      <c r="H62" t="inlineStr">
        <is>
          <t>medium</t>
        </is>
      </c>
      <c r="I62" t="b">
        <v>1</v>
      </c>
      <c r="J62" t="b">
        <v>1</v>
      </c>
      <c r="K62" t="inlineStr"/>
      <c r="L62" t="inlineStr">
        <is>
          <t>$ 397,500
MXN
TERRENO VENTA -
POSTE DE LUZ A PIE DEL LOTE
CONKAL, YUCATAN
• Características:
582 m2
( 12m2 x 48.5m2)
UBICACIÓN
A 15 KM DE MÉRIDA
A 25 MIN DE LA COSTA
Tek Park Tierra
de Negs
CUENTA CON :
• ESCRITURA
• PROPIEDAD PRIVADA
• IMPUESTOS DE PREDIAL
AL DIA
• LIBRE DE GRAVAMEN
ENERGIA ELECTRI</t>
        </is>
      </c>
      <c r="M62" t="inlineStr"/>
    </row>
    <row r="63">
      <c r="A63">
        <f>IMAGE("https://http2.mlstatic.com/D_NQ_NP_858002-MLB112305539002_062026-F.webp")</f>
        <v/>
      </c>
      <c r="B63" t="inlineStr">
        <is>
          <t>https://http2.mlstatic.com/D_NQ_NP_858002-MLB112305539002_062026-F.webp</t>
        </is>
      </c>
      <c r="C63" t="inlineStr">
        <is>
          <t>P-delivery</t>
        </is>
      </c>
      <c r="D63" t="b">
        <v>1</v>
      </c>
      <c r="E63" t="b">
        <v>1</v>
      </c>
      <c r="F63" t="inlineStr">
        <is>
          <t>delivery</t>
        </is>
      </c>
      <c r="G63" t="inlineStr">
        <is>
          <t>PRONTA ENTREGA BLINDADO</t>
        </is>
      </c>
      <c r="H63" t="inlineStr">
        <is>
          <t>high</t>
        </is>
      </c>
      <c r="I63" t="b">
        <v>1</v>
      </c>
      <c r="J63" t="b">
        <v>1</v>
      </c>
      <c r="K63" t="inlineStr"/>
      <c r="L63" t="inlineStr">
        <is>
          <t>2026 PRONTA ENTREGA
BLINDADO,</t>
        </is>
      </c>
      <c r="M63" t="inlineStr"/>
    </row>
    <row r="64">
      <c r="A64">
        <f>IMAGE("https://http2.mlstatic.com/D_NQ_NP_727829-MLB54697779612_032023-F.webp")</f>
        <v/>
      </c>
      <c r="B64" t="inlineStr">
        <is>
          <t>https://http2.mlstatic.com/D_NQ_NP_727829-MLB54697779612_032023-F.webp</t>
        </is>
      </c>
      <c r="C64" t="inlineStr">
        <is>
          <t>P-delivery</t>
        </is>
      </c>
      <c r="D64" t="b">
        <v>1</v>
      </c>
      <c r="E64" t="b">
        <v>1</v>
      </c>
      <c r="F64" t="inlineStr">
        <is>
          <t>delivery</t>
        </is>
      </c>
      <c r="G64" t="inlineStr">
        <is>
          <t>Frete grátis</t>
        </is>
      </c>
      <c r="H64" t="inlineStr">
        <is>
          <t>high</t>
        </is>
      </c>
      <c r="I64" t="b">
        <v>1</v>
      </c>
      <c r="J64" t="b">
        <v>1</v>
      </c>
      <c r="K64" t="inlineStr"/>
      <c r="L64" t="inlineStr">
        <is>
          <t>FRETE GRÁTIS
*PARA REGIÕES SUL E SUDESTE
DEMAIS LOCALIDADES INCLUIR CUSTO DE ENVIO NA
TABELA DE FRETE CONFORME REGIÃO DE DESTINO.
NOBRELACK
TINTAS E ACESSÓRIOS
MOVELEIROS
A ASSISTENCIA QUE
VOCÊ PRECISA
NOBRELACK
A ASSISTÊNCIA QUE
VOCÊ PRECISA
TINTAS E ACESSÓRIOS
MOVELEIRO</t>
        </is>
      </c>
      <c r="M64" t="inlineStr"/>
    </row>
    <row r="65">
      <c r="A65">
        <f>IMAGE("https://http2.mlstatic.com/D_NQ_NP_682702-MLB113583703109_062026-F.webp")</f>
        <v/>
      </c>
      <c r="B65" t="inlineStr">
        <is>
          <t>https://http2.mlstatic.com/D_NQ_NP_682702-MLB113583703109_062026-F.webp</t>
        </is>
      </c>
      <c r="C65" t="inlineStr">
        <is>
          <t>P-delivery</t>
        </is>
      </c>
      <c r="D65" t="b">
        <v>1</v>
      </c>
      <c r="E65" t="b">
        <v>1</v>
      </c>
      <c r="F65" t="inlineStr">
        <is>
          <t>delivery</t>
        </is>
      </c>
      <c r="G65" t="inlineStr">
        <is>
          <t>ENVIO IMEDIATO</t>
        </is>
      </c>
      <c r="H65" t="inlineStr">
        <is>
          <t>high</t>
        </is>
      </c>
      <c r="I65" t="b">
        <v>1</v>
      </c>
      <c r="J65" t="b">
        <v>1</v>
      </c>
      <c r="K65" t="inlineStr"/>
      <c r="L65" t="inlineStr">
        <is>
          <t>ENVIO IMEDIATO
50
LITROS</t>
        </is>
      </c>
      <c r="M65" t="inlineStr"/>
    </row>
    <row r="66">
      <c r="A66">
        <f>IMAGE("https://http2.mlstatic.com/D_NQ_NP_828217-MLB106567259441_022026-F.webp")</f>
        <v/>
      </c>
      <c r="B66" t="inlineStr">
        <is>
          <t>https://http2.mlstatic.com/D_NQ_NP_828217-MLB106567259441_022026-F.webp</t>
        </is>
      </c>
      <c r="C66" t="inlineStr">
        <is>
          <t>P-delivery</t>
        </is>
      </c>
      <c r="D66" t="b">
        <v>1</v>
      </c>
      <c r="E66" t="b">
        <v>0</v>
      </c>
      <c r="F66" t="inlineStr">
        <is>
          <t>none</t>
        </is>
      </c>
      <c r="G66" t="inlineStr"/>
      <c r="H66" t="inlineStr">
        <is>
          <t>high</t>
        </is>
      </c>
      <c r="I66" t="b">
        <v>1</v>
      </c>
      <c r="J66" t="b">
        <v>1</v>
      </c>
      <c r="K66" t="inlineStr"/>
      <c r="L66" t="inlineStr">
        <is>
          <t>ENVIO IMEDIATO
SOMOS O
FABRICANTE
CABO REVESTIDO
EM ALUMÍNIO
REFORÇADO
NÃO ENVERGA</t>
        </is>
      </c>
      <c r="M66" t="inlineStr"/>
    </row>
    <row r="67">
      <c r="A67">
        <f>IMAGE("https://http2.mlstatic.com/D_NQ_NP_622529-MLA31826472142_082019-F.webp")</f>
        <v/>
      </c>
      <c r="B67" t="inlineStr">
        <is>
          <t>https://http2.mlstatic.com/D_NQ_NP_622529-MLA31826472142_082019-F.webp</t>
        </is>
      </c>
      <c r="C67" t="inlineStr">
        <is>
          <t>P-delivery</t>
        </is>
      </c>
      <c r="D67" t="b">
        <v>1</v>
      </c>
      <c r="E67" t="b">
        <v>0</v>
      </c>
      <c r="F67" t="inlineStr">
        <is>
          <t>none</t>
        </is>
      </c>
      <c r="G67" t="inlineStr"/>
      <c r="H67" t="inlineStr">
        <is>
          <t>low</t>
        </is>
      </c>
      <c r="I67" t="b">
        <v>1</v>
      </c>
      <c r="J67" t="b">
        <v>1</v>
      </c>
      <c r="K67" t="inlineStr"/>
      <c r="L67" t="inlineStr">
        <is>
          <t>lolo
Quienes Somos
Envios / Retire
Somos libreros hace más de una década. Nuestro catálogo supera los 8.000.000 libros.
Si no tenemos el libro que estás buscando lo conseguimos para usted. Estamos asociados a grandes librerías
en todo mundo y por eso podemos ofrecerle un precio competitivo.
Todos nu</t>
        </is>
      </c>
      <c r="M67" t="inlineStr"/>
    </row>
    <row r="68">
      <c r="A68">
        <f>IMAGE("https://http2.mlstatic.com/D_NQ_NP_738235-MLB112359851006_062026-F.webp")</f>
        <v/>
      </c>
      <c r="B68" t="inlineStr">
        <is>
          <t>https://http2.mlstatic.com/D_NQ_NP_738235-MLB112359851006_062026-F.webp</t>
        </is>
      </c>
      <c r="C68" t="inlineStr">
        <is>
          <t>P-delivery</t>
        </is>
      </c>
      <c r="D68" t="b">
        <v>1</v>
      </c>
      <c r="E68" t="b">
        <v>1</v>
      </c>
      <c r="F68" t="inlineStr">
        <is>
          <t>badge</t>
        </is>
      </c>
      <c r="G68" t="inlineStr">
        <is>
          <t>textos sobrepuestos con el texto 'CABO REVESTIDO EM ALUMÍNIO', 'IDEAL PARA ASSAR PEQUENOS CORTES', 'CORAÇÃO DE FRANGO LINGUIÇA FINA'</t>
        </is>
      </c>
      <c r="H68" t="inlineStr">
        <is>
          <t>medium</t>
        </is>
      </c>
      <c r="I68" t="b">
        <v>1</v>
      </c>
      <c r="J68" t="b">
        <v>1</v>
      </c>
      <c r="K68" t="inlineStr"/>
      <c r="L68" t="inlineStr">
        <is>
          <t>ENVIO IMEDIATO
SOMOS O
FABRICANTE
CABO REVESTIDO
EM ALUMÍNIO
IDEAL PARA ASSAR
PEQUENOS CORTES
CORAÇÃO DE FRANGO
LINGUIÇA FINA</t>
        </is>
      </c>
      <c r="M68" t="inlineStr"/>
    </row>
    <row r="69">
      <c r="A69">
        <f>IMAGE("https://http2.mlstatic.com/D_NQ_NP_861777-MLB113625413317_062026-F.webp")</f>
        <v/>
      </c>
      <c r="B69" t="inlineStr">
        <is>
          <t>https://http2.mlstatic.com/D_NQ_NP_861777-MLB113625413317_062026-F.webp</t>
        </is>
      </c>
      <c r="C69" t="inlineStr">
        <is>
          <t>P-delivery</t>
        </is>
      </c>
      <c r="D69" t="b">
        <v>1</v>
      </c>
      <c r="E69" t="b">
        <v>1</v>
      </c>
      <c r="F69" t="inlineStr">
        <is>
          <t>delivery</t>
        </is>
      </c>
      <c r="G69" t="inlineStr">
        <is>
          <t>2026 PRONTA ENTREGA BLINDADO</t>
        </is>
      </c>
      <c r="H69" t="inlineStr">
        <is>
          <t>high</t>
        </is>
      </c>
      <c r="I69" t="b">
        <v>1</v>
      </c>
      <c r="J69" t="b">
        <v>1</v>
      </c>
      <c r="K69" t="inlineStr"/>
      <c r="L69" t="inlineStr">
        <is>
          <t>2026 PRONTA ENTREGA
BLINDADO</t>
        </is>
      </c>
      <c r="M69" t="inlineStr"/>
    </row>
    <row r="70">
      <c r="A70">
        <f>IMAGE("https://http2.mlstatic.com/D_NQ_NP_772607-MLB112361219604_062026-F.webp")</f>
        <v/>
      </c>
      <c r="B70" t="inlineStr">
        <is>
          <t>https://http2.mlstatic.com/D_NQ_NP_772607-MLB112361219604_062026-F.webp</t>
        </is>
      </c>
      <c r="C70" t="inlineStr">
        <is>
          <t>P-delivery</t>
        </is>
      </c>
      <c r="D70" t="b">
        <v>1</v>
      </c>
      <c r="E70" t="b">
        <v>1</v>
      </c>
      <c r="F70" t="inlineStr">
        <is>
          <t>badge</t>
        </is>
      </c>
      <c r="G70" t="inlineStr">
        <is>
          <t>LOJA OFICIAL</t>
        </is>
      </c>
      <c r="H70" t="inlineStr">
        <is>
          <t>high</t>
        </is>
      </c>
      <c r="I70" t="b">
        <v>1</v>
      </c>
      <c r="J70" t="b">
        <v>1</v>
      </c>
      <c r="K70" t="inlineStr"/>
      <c r="L70" t="inlineStr">
        <is>
          <t>ESCALDA PÉS
Camomila
FRETE
GRÁTIS
LOJA
OFICIAL
Alívio e bem-estar para seus pés
com o poder das ervas naturais!
SSS
Com Camomila
Propriedades calmantes
que ajudam a relaxar.
Sensação de relaxamento
e pernas leves
Escalda Pés
Camomila
Modo de Uso:
Dissolva o conteúdo do
escalda pès em água moma
e dei</t>
        </is>
      </c>
      <c r="M70" t="inlineStr"/>
    </row>
    <row r="71">
      <c r="A71">
        <f>IMAGE("https://http2.mlstatic.com/D_NQ_NP_690741-MLB113315853259_062026-F.webp")</f>
        <v/>
      </c>
      <c r="B71" t="inlineStr">
        <is>
          <t>https://http2.mlstatic.com/D_NQ_NP_690741-MLB113315853259_062026-F.webp</t>
        </is>
      </c>
      <c r="C71" t="inlineStr">
        <is>
          <t>P-delivery</t>
        </is>
      </c>
      <c r="D71" t="b">
        <v>1</v>
      </c>
      <c r="E71" t="b">
        <v>1</v>
      </c>
      <c r="F71" t="inlineStr">
        <is>
          <t>delivery</t>
        </is>
      </c>
      <c r="G71" t="inlineStr">
        <is>
          <t>envio imediato</t>
        </is>
      </c>
      <c r="H71" t="inlineStr">
        <is>
          <t>high</t>
        </is>
      </c>
      <c r="I71" t="b">
        <v>1</v>
      </c>
      <c r="J71" t="b">
        <v>1</v>
      </c>
      <c r="K71" t="inlineStr"/>
      <c r="L71" t="inlineStr">
        <is>
          <t>WINDOWS 11
PROFESSIONAL
DIGITAL LICENSE
License for Windows 10 Professional - 1 PC use
Microsoft
Download
ENVIO IMEDIATO
VENDEDOR ONLINE</t>
        </is>
      </c>
      <c r="M71" t="inlineStr"/>
    </row>
    <row r="72">
      <c r="A72">
        <f>IMAGE("https://http2.mlstatic.com/D_NQ_NP_754372-MLA113535330221_062026-F.webp")</f>
        <v/>
      </c>
      <c r="B72" t="inlineStr">
        <is>
          <t>https://http2.mlstatic.com/D_NQ_NP_754372-MLA113535330221_062026-F.webp</t>
        </is>
      </c>
      <c r="C72" t="inlineStr">
        <is>
          <t>P-delivery</t>
        </is>
      </c>
      <c r="D72" t="b">
        <v>1</v>
      </c>
      <c r="E72" t="b">
        <v>1</v>
      </c>
      <c r="F72" t="inlineStr">
        <is>
          <t>badge</t>
        </is>
      </c>
      <c r="G72" t="inlineStr">
        <is>
          <t>un sello que imita una etiqueta oficial de MercadoLibre</t>
        </is>
      </c>
      <c r="H72" t="inlineStr">
        <is>
          <t>medium</t>
        </is>
      </c>
      <c r="I72" t="b">
        <v>1</v>
      </c>
      <c r="J72" t="b">
        <v>1</v>
      </c>
      <c r="K72" t="inlineStr"/>
      <c r="L72" t="inlineStr">
        <is>
          <t>2
COMBO DUO
X2 LIBROS
GABRIEL
ROLÓN
LA
FELICIDAD
Más allá de la ilusión
Gabriel
Rolon
El Duelo
(Cuando el dolor se hace carne)
Ensayo
Planeta
Planeta
NUEVOS Y SELLADOS - ENTREGA INMEDIATA</t>
        </is>
      </c>
      <c r="M72" t="inlineStr"/>
    </row>
    <row r="73">
      <c r="A73">
        <f>IMAGE("https://http2.mlstatic.com/D_NQ_NP_790198-MLA112261519830_062026-F.webp")</f>
        <v/>
      </c>
      <c r="B73" t="inlineStr">
        <is>
          <t>https://http2.mlstatic.com/D_NQ_NP_790198-MLA112261519830_062026-F.webp</t>
        </is>
      </c>
      <c r="C73" t="inlineStr">
        <is>
          <t>P-delivery</t>
        </is>
      </c>
      <c r="D73" t="b">
        <v>1</v>
      </c>
      <c r="E73" t="b">
        <v>0</v>
      </c>
      <c r="F73" t="inlineStr">
        <is>
          <t>none</t>
        </is>
      </c>
      <c r="G73" t="inlineStr"/>
      <c r="H73" t="inlineStr">
        <is>
          <t>low</t>
        </is>
      </c>
      <c r="I73" t="b">
        <v>1</v>
      </c>
      <c r="J73" t="b">
        <v>1</v>
      </c>
      <c r="K73" t="inlineStr"/>
      <c r="L73" t="inlineStr">
        <is>
          <t>INFORMACIÓN DE ENVÍOS
111
mercado
envios
ENVÍOS FLEX (CABA y GBA):
O COMPRANDO ANTES DE LAS
12hs, LLEGA HOY (DE 14 A 22hs).
ENVÍOS AL INTERIOR
(Mercado Envíos):
• DESPACHAMOS TODOS LOS DÍAS.
• PODÉS VER EL SEGUIMIENTO
DESDE TU COMPRA.
DI:
Importante:
Por protocolos de
seguridad, el mensajero
entrega</t>
        </is>
      </c>
      <c r="M73" t="inlineStr"/>
    </row>
    <row r="74">
      <c r="A74">
        <f>IMAGE("https://http2.mlstatic.com/D_NQ_NP_692204-MLB112424944662_062026-F.webp")</f>
        <v/>
      </c>
      <c r="B74" t="inlineStr">
        <is>
          <t>https://http2.mlstatic.com/D_NQ_NP_692204-MLB112424944662_062026-F.webp</t>
        </is>
      </c>
      <c r="C74" t="inlineStr">
        <is>
          <t>P-delivery</t>
        </is>
      </c>
      <c r="D74" t="b">
        <v>1</v>
      </c>
      <c r="E74" t="b">
        <v>0</v>
      </c>
      <c r="F74" t="inlineStr">
        <is>
          <t>none</t>
        </is>
      </c>
      <c r="G74" t="inlineStr"/>
      <c r="H74" t="inlineStr">
        <is>
          <t>low</t>
        </is>
      </c>
      <c r="I74" t="b">
        <v>1</v>
      </c>
      <c r="J74" t="b">
        <v>1</v>
      </c>
      <c r="K74" t="inlineStr"/>
      <c r="L74" t="inlineStr">
        <is>
          <t>PIVÔ DE
CHEVROLET
PIVÔ DE SUSPENSÃO INFERIOR
A/C/D-10/14/15/20 - 1964/1988
A/C/D-10/20 -1988/1992
BONANZA 1989/1992
VERANEIO 1968/1992
CÓDIGO: TW10480
N.° 52 258 112
ENCAIXE
PERFEITO
ALTA
DURABILIDADE
QUALIDADE
PREMIUM
CHEVROLET
hower
Industria e Comércio de Auto Peças Lida
dator Con
Thower
HteurCom</t>
        </is>
      </c>
      <c r="M74" t="inlineStr"/>
    </row>
    <row r="75">
      <c r="A75">
        <f>IMAGE("https://http2.mlstatic.com/D_NQ_NP_848116-MLB48834870074_012022-F.webp")</f>
        <v/>
      </c>
      <c r="B75" t="inlineStr">
        <is>
          <t>https://http2.mlstatic.com/D_NQ_NP_848116-MLB48834870074_012022-F.webp</t>
        </is>
      </c>
      <c r="C75" t="inlineStr">
        <is>
          <t>P-delivery</t>
        </is>
      </c>
      <c r="D75" t="b">
        <v>1</v>
      </c>
      <c r="E75" t="b">
        <v>0</v>
      </c>
      <c r="F75" t="inlineStr">
        <is>
          <t>none</t>
        </is>
      </c>
      <c r="G75" t="inlineStr">
        <is>
          <t>none</t>
        </is>
      </c>
      <c r="H75" t="inlineStr">
        <is>
          <t>low</t>
        </is>
      </c>
      <c r="I75" t="b">
        <v>1</v>
      </c>
      <c r="J75" t="b">
        <v>1</v>
      </c>
      <c r="K75" t="inlineStr"/>
      <c r="L75" t="inlineStr">
        <is>
          <t xml:space="preserve">Termo retrátil
Envio Imediato
Diâmetro
100
mm
Quantidade
UL
ROHS
1 metro
Profissional
</t>
        </is>
      </c>
      <c r="M75" t="inlineStr"/>
    </row>
    <row r="76">
      <c r="A76">
        <f>IMAGE("https://http2.mlstatic.com/D_NQ_NP_798198-MLA113504055615_062026-F.webp")</f>
        <v/>
      </c>
      <c r="B76" t="inlineStr">
        <is>
          <t>https://http2.mlstatic.com/D_NQ_NP_798198-MLA113504055615_062026-F.webp</t>
        </is>
      </c>
      <c r="C76" t="inlineStr">
        <is>
          <t>P-delivery</t>
        </is>
      </c>
      <c r="D76" t="b">
        <v>1</v>
      </c>
      <c r="E76" t="b">
        <v>1</v>
      </c>
      <c r="F76" t="inlineStr">
        <is>
          <t>delivery</t>
        </is>
      </c>
      <c r="G76" t="inlineStr">
        <is>
          <t>envio en el dia</t>
        </is>
      </c>
      <c r="H76" t="inlineStr">
        <is>
          <t>high</t>
        </is>
      </c>
      <c r="I76" t="b">
        <v>1</v>
      </c>
      <c r="J76" t="b">
        <v>1</v>
      </c>
      <c r="K76" t="inlineStr"/>
      <c r="L76" t="inlineStr">
        <is>
          <t>亂
CABA Y GBA
ENVIO
EN EL DIA
Ziwala
MERCADO
ENVIOS A
TODO EL PAIS
RETIROS EN EL LOCAL
ZONA
CALLAO Y CORRIENTES</t>
        </is>
      </c>
      <c r="M76" t="inlineStr"/>
    </row>
    <row r="77">
      <c r="A77">
        <f>IMAGE("https://http2.mlstatic.com/D_NQ_NP_673362-MLB113585519543_062026-F.webp")</f>
        <v/>
      </c>
      <c r="B77" t="inlineStr">
        <is>
          <t>https://http2.mlstatic.com/D_NQ_NP_673362-MLB113585519543_062026-F.webp</t>
        </is>
      </c>
      <c r="C77" t="inlineStr">
        <is>
          <t>P-delivery</t>
        </is>
      </c>
      <c r="D77" t="b">
        <v>1</v>
      </c>
      <c r="E77" t="b">
        <v>0</v>
      </c>
      <c r="F77" t="inlineStr">
        <is>
          <t>none</t>
        </is>
      </c>
      <c r="G77" t="inlineStr"/>
      <c r="H77" t="inlineStr">
        <is>
          <t>low</t>
        </is>
      </c>
      <c r="I77" t="b">
        <v>1</v>
      </c>
      <c r="J77" t="b">
        <v>1</v>
      </c>
      <c r="K77" t="inlineStr"/>
      <c r="L77" t="inlineStr">
        <is>
          <t>PIVÔ DE
BMW
PIVÔ CURTO DIANTEIRO
BMW-316-82/91
BMW-316 1-325 1-318 1-82/94
BMW-Z3-95/
BMW-M3-COUPE-92/98
BMW-316 1-318 T-COMPACT-92/98
BMW-318 1-328 I-TOURING-92/98
BMW-3201-M3-CABRIOLET-92/98
BMW-M3-Z1-82/91
Thower
Thower Induria e Comercio de Auto Pecan Lido
ENCAIXE
PERFEITO
ALTA
DURABILIDADE
Thow</t>
        </is>
      </c>
      <c r="M77" t="inlineStr"/>
    </row>
    <row r="78">
      <c r="A78">
        <f>IMAGE("https://http2.mlstatic.com/D_NQ_NP_617563-MLB113484190833_062026-F.webp")</f>
        <v/>
      </c>
      <c r="B78" t="inlineStr">
        <is>
          <t>https://http2.mlstatic.com/D_NQ_NP_617563-MLB113484190833_062026-F.webp</t>
        </is>
      </c>
      <c r="C78" t="inlineStr">
        <is>
          <t>P-delivery</t>
        </is>
      </c>
      <c r="D78" t="b">
        <v>1</v>
      </c>
      <c r="E78" t="b">
        <v>1</v>
      </c>
      <c r="F78" t="inlineStr">
        <is>
          <t>delivery</t>
        </is>
      </c>
      <c r="G78" t="inlineStr">
        <is>
          <t>envio imediato</t>
        </is>
      </c>
      <c r="H78" t="inlineStr">
        <is>
          <t>high</t>
        </is>
      </c>
      <c r="I78" t="b">
        <v>1</v>
      </c>
      <c r="J78" t="b">
        <v>1</v>
      </c>
      <c r="K78" t="inlineStr"/>
      <c r="L78" t="inlineStr">
        <is>
          <t>ENVIO IMEDIATO
WINDOWS 10 PRO
Microsoft
WINDOWS 10 PRO
ENVIO 30 SEGUNDOS</t>
        </is>
      </c>
      <c r="M78" t="inlineStr"/>
    </row>
    <row r="79">
      <c r="A79">
        <f>IMAGE("https://http2.mlstatic.com/D_NQ_NP_650123-MLB113591698197_062026-F.webp")</f>
        <v/>
      </c>
      <c r="B79" t="inlineStr">
        <is>
          <t>https://http2.mlstatic.com/D_NQ_NP_650123-MLB113591698197_062026-F.webp</t>
        </is>
      </c>
      <c r="C79" t="inlineStr">
        <is>
          <t>P-delivery</t>
        </is>
      </c>
      <c r="D79" t="b">
        <v>1</v>
      </c>
      <c r="E79" t="b">
        <v>1</v>
      </c>
      <c r="F79" t="inlineStr">
        <is>
          <t>delivery</t>
        </is>
      </c>
      <c r="G79" t="inlineStr">
        <is>
          <t>ENVIO IMEDIATO</t>
        </is>
      </c>
      <c r="H79" t="inlineStr">
        <is>
          <t>high</t>
        </is>
      </c>
      <c r="I79" t="b">
        <v>1</v>
      </c>
      <c r="J79" t="b">
        <v>1</v>
      </c>
      <c r="K79" t="inlineStr"/>
      <c r="L79" t="inlineStr">
        <is>
          <t>★ COLEÇÃO COMPLETA
DESPERADIS
1, 2 E 3
ENVIO
IMEDIATO
DOWNLOAD
DIGITAL
DESPERADOS DESPERADOS DESPERADOS
WANTED DEAD OR ALIVE
COOPER'S REVENGE
ENVIO DIGITAL
IMEDIATO
JOGOS COMPLETOS
E ORIGINAIS
COMPATÍVEL COM
WINDOWS
SUPORTE
ESPECIALIZADO
COMPRA
100% SEGURA</t>
        </is>
      </c>
      <c r="M79" t="inlineStr"/>
    </row>
    <row r="80">
      <c r="A80">
        <f>IMAGE("https://http2.mlstatic.com/D_NQ_NP_667168-MLB113639616397_062026-F.webp")</f>
        <v/>
      </c>
      <c r="B80" t="inlineStr">
        <is>
          <t>https://http2.mlstatic.com/D_NQ_NP_667168-MLB113639616397_062026-F.webp</t>
        </is>
      </c>
      <c r="C80" t="inlineStr">
        <is>
          <t>P-delivery</t>
        </is>
      </c>
      <c r="D80" t="b">
        <v>1</v>
      </c>
      <c r="E80" t="b">
        <v>1</v>
      </c>
      <c r="F80" t="inlineStr">
        <is>
          <t>delivery</t>
        </is>
      </c>
      <c r="G80" t="inlineStr">
        <is>
          <t>PRONTA ENTREGA</t>
        </is>
      </c>
      <c r="H80" t="inlineStr">
        <is>
          <t>high</t>
        </is>
      </c>
      <c r="I80" t="b">
        <v>0</v>
      </c>
      <c r="J80" t="b">
        <v>0</v>
      </c>
      <c r="K80" t="inlineStr"/>
      <c r="L80" t="inlineStr">
        <is>
          <t>22
FIAT
@ratsmultimarcas
fratsmultimarcas
ZERO KMU
Pronta entrega
MULTIMARCAS
COMPLETO
PRACIMA BRASIL?
PERICIADO
APROVADO
RATS
FIAT</t>
        </is>
      </c>
      <c r="M80" t="inlineStr"/>
    </row>
    <row r="81">
      <c r="A81">
        <f>IMAGE("https://http2.mlstatic.com/D_NQ_NP_611207-MLA85928926281_062025-F.webp")</f>
        <v/>
      </c>
      <c r="B81" t="inlineStr">
        <is>
          <t>https://http2.mlstatic.com/D_NQ_NP_611207-MLA85928926281_062025-F.webp</t>
        </is>
      </c>
      <c r="C81" t="inlineStr">
        <is>
          <t>P-delivery</t>
        </is>
      </c>
      <c r="D81" t="b">
        <v>1</v>
      </c>
      <c r="E81" t="b">
        <v>1</v>
      </c>
      <c r="F81" t="inlineStr">
        <is>
          <t>delivery</t>
        </is>
      </c>
      <c r="G81" t="inlineStr">
        <is>
          <t>APTO CRÉDITO ENTREGA INMEDIATA</t>
        </is>
      </c>
      <c r="H81" t="inlineStr">
        <is>
          <t>high</t>
        </is>
      </c>
      <c r="I81" t="b">
        <v>1</v>
      </c>
      <c r="J81" t="b">
        <v>1</v>
      </c>
      <c r="K81" t="inlineStr"/>
      <c r="L81" t="inlineStr">
        <is>
          <t>APTO CRÉDITO
ENTREGA INMEDIATA
LEPORES
LEPORE
SHOWROOM
M
MOSTAZA
E</t>
        </is>
      </c>
      <c r="M81" t="inlineStr"/>
    </row>
    <row r="82">
      <c r="A82">
        <f>IMAGE("https://http2.mlstatic.com/D_NQ_NP_860207-MLM113381575693_062026-F.webp")</f>
        <v/>
      </c>
      <c r="B82" t="inlineStr">
        <is>
          <t>https://http2.mlstatic.com/D_NQ_NP_860207-MLM113381575693_062026-F.webp</t>
        </is>
      </c>
      <c r="C82" t="inlineStr">
        <is>
          <t>P-badge</t>
        </is>
      </c>
      <c r="D82" t="b">
        <v>1</v>
      </c>
      <c r="E82" t="b">
        <v>1</v>
      </c>
      <c r="F82" t="inlineStr">
        <is>
          <t>badge</t>
        </is>
      </c>
      <c r="G82" t="inlineStr">
        <is>
          <t>4.a edición</t>
        </is>
      </c>
      <c r="H82" t="inlineStr">
        <is>
          <t>high</t>
        </is>
      </c>
      <c r="I82" t="b">
        <v>0</v>
      </c>
      <c r="J82" t="b">
        <v>0</v>
      </c>
      <c r="K82" t="inlineStr"/>
      <c r="L82" t="inlineStr">
        <is>
          <t>EL CUERPO
LLEVA LA
CUENTA
CEREBRO, MENTE
Y CUERPO EN
LA SUPERACIÓN
DEL TRAUMA
4.a
edición
#1
The New York Times
Bestseller
BESSEL VAN DER KOLK, M.D.</t>
        </is>
      </c>
      <c r="M82" t="inlineStr"/>
    </row>
    <row r="83">
      <c r="A83">
        <f>IMAGE("https://http2.mlstatic.com/D_NQ_NP_769502-MCO112400726098_062026-F.webp")</f>
        <v/>
      </c>
      <c r="B83" t="inlineStr">
        <is>
          <t>https://http2.mlstatic.com/D_NQ_NP_769502-MCO112400726098_062026-F.webp</t>
        </is>
      </c>
      <c r="C83" t="inlineStr">
        <is>
          <t>P-badge</t>
        </is>
      </c>
      <c r="D83" t="b">
        <v>1</v>
      </c>
      <c r="E83" t="b">
        <v>0</v>
      </c>
      <c r="F83" t="inlineStr">
        <is>
          <t>none</t>
        </is>
      </c>
      <c r="G83" t="inlineStr"/>
      <c r="H83" t="inlineStr">
        <is>
          <t>low</t>
        </is>
      </c>
      <c r="I83" t="b">
        <v>0</v>
      </c>
      <c r="J83" t="b">
        <v>0</v>
      </c>
      <c r="K83" t="inlineStr"/>
      <c r="L83" t="inlineStr">
        <is>
          <t>440V
BREAKERMATIC®
FASES
Protector electrónico trifásico
contra Fallas por Voltaje alto y bajo,
Secuencia de fase invertida, Ausencia de fase
INCLUYE: Retardador de arranque y Autoprotección Contra Sobrepicos
Three-Phase electronic protector
against Voltage Faults, Phase Sequence inversion
INCLUDES:</t>
        </is>
      </c>
      <c r="M83" t="inlineStr"/>
    </row>
    <row r="84">
      <c r="A84">
        <f>IMAGE("https://http2.mlstatic.com/D_NQ_NP_870789-MCO113614355435_062026-F.webp")</f>
        <v/>
      </c>
      <c r="B84" t="inlineStr">
        <is>
          <t>https://http2.mlstatic.com/D_NQ_NP_870789-MCO113614355435_062026-F.webp</t>
        </is>
      </c>
      <c r="C84" t="inlineStr">
        <is>
          <t>P-badge</t>
        </is>
      </c>
      <c r="D84" t="b">
        <v>1</v>
      </c>
      <c r="E84" t="b">
        <v>1</v>
      </c>
      <c r="F84" t="inlineStr">
        <is>
          <t>badge</t>
        </is>
      </c>
      <c r="G84" t="inlineStr">
        <is>
          <t>Mercado Lider</t>
        </is>
      </c>
      <c r="H84" t="inlineStr">
        <is>
          <t>high</t>
        </is>
      </c>
      <c r="I84" t="b">
        <v>1</v>
      </c>
      <c r="J84" t="b">
        <v>1</v>
      </c>
      <c r="K84" t="inlineStr"/>
      <c r="L84" t="inlineStr">
        <is>
          <t>LIBRO
ORIGINAL
SEGURO
SOMOS
mercado
Lider
COMPR
libreriadela
Un mundo diferente</t>
        </is>
      </c>
      <c r="M84" t="inlineStr"/>
    </row>
    <row r="85">
      <c r="A85">
        <f>IMAGE("https://http2.mlstatic.com/D_NQ_NP_683523-MLA113412636713_062026-F.webp")</f>
        <v/>
      </c>
      <c r="B85" t="inlineStr">
        <is>
          <t>https://http2.mlstatic.com/D_NQ_NP_683523-MLA113412636713_062026-F.webp</t>
        </is>
      </c>
      <c r="C85" t="inlineStr">
        <is>
          <t>P-badge</t>
        </is>
      </c>
      <c r="D85" t="b">
        <v>1</v>
      </c>
      <c r="E85" t="b">
        <v>0</v>
      </c>
      <c r="F85" t="inlineStr">
        <is>
          <t>none</t>
        </is>
      </c>
      <c r="G85" t="inlineStr"/>
      <c r="H85" t="inlineStr">
        <is>
          <t>low</t>
        </is>
      </c>
      <c r="I85" t="b">
        <v>0</v>
      </c>
      <c r="J85" t="b">
        <v>0</v>
      </c>
      <c r="K85" t="inlineStr"/>
      <c r="L85" t="inlineStr">
        <is>
          <t>Ford
Motorcraft.
SP-530-X
SP-530
AYFS-32Y-RX
AYFS-32Y-R
5158132
Iridium
See Side Panel
SP-530-X
SP-530
AYFS-32Y RX
AYFS-12Y-R
5158132
Iridium
*See Side Panel
Spark Plugs
Bougies
Bujías
SP-530-X
SP-530
AYFS-32Y-REX
AYFS-32Y-R
515-8132
Iridium
See Side Panel
530-X
1-530
FS-32Y-RX
FS-32Y-R
5158132
Irid</t>
        </is>
      </c>
      <c r="M85" t="inlineStr"/>
    </row>
    <row r="86">
      <c r="A86">
        <f>IMAGE("https://http2.mlstatic.com/D_NQ_NP_793086-MLM112375348030_062026-F.webp")</f>
        <v/>
      </c>
      <c r="B86" t="inlineStr">
        <is>
          <t>https://http2.mlstatic.com/D_NQ_NP_793086-MLM112375348030_062026-F.webp</t>
        </is>
      </c>
      <c r="C86" t="inlineStr">
        <is>
          <t>P-badge</t>
        </is>
      </c>
      <c r="D86" t="b">
        <v>1</v>
      </c>
      <c r="E86" t="b">
        <v>0</v>
      </c>
      <c r="F86" t="inlineStr">
        <is>
          <t>none</t>
        </is>
      </c>
      <c r="G86" t="inlineStr"/>
      <c r="H86" t="inlineStr">
        <is>
          <t>low</t>
        </is>
      </c>
      <c r="I86" t="b">
        <v>0</v>
      </c>
      <c r="J86" t="b">
        <v>0</v>
      </c>
      <c r="K86" t="inlineStr"/>
      <c r="L86" t="inlineStr">
        <is>
          <t>iones
PER COM
3218-
REFACCIONES
GENUINE ACDelco
PARTS
ENTREGA
INMEDIATA</t>
        </is>
      </c>
      <c r="M86" t="inlineStr"/>
    </row>
    <row r="87">
      <c r="A87">
        <f>IMAGE("https://http2.mlstatic.com/D_NQ_NP_983622-MLM112184059708_062026-F.webp")</f>
        <v/>
      </c>
      <c r="B87" t="inlineStr">
        <is>
          <t>https://http2.mlstatic.com/D_NQ_NP_983622-MLM112184059708_062026-F.webp</t>
        </is>
      </c>
      <c r="C87" t="inlineStr">
        <is>
          <t>P-badge</t>
        </is>
      </c>
      <c r="D87" t="b">
        <v>1</v>
      </c>
      <c r="E87" t="b">
        <v>0</v>
      </c>
      <c r="F87" t="inlineStr">
        <is>
          <t>none</t>
        </is>
      </c>
      <c r="G87" t="inlineStr"/>
      <c r="H87" t="inlineStr">
        <is>
          <t>low</t>
        </is>
      </c>
      <c r="I87" t="b">
        <v>0</v>
      </c>
      <c r="J87" t="b">
        <v>0</v>
      </c>
      <c r="K87" t="inlineStr"/>
      <c r="L87" t="inlineStr">
        <is>
          <t>NATIONAL BESTSELLER
CHUCK PALAHNIUK
RANT
"One of the most feverish
Imaginations in American letters
More than your weekly prescribed dose
of humor and humanity, cleverness and outrage
ANOVEL</t>
        </is>
      </c>
      <c r="M87" t="inlineStr"/>
    </row>
    <row r="88">
      <c r="A88">
        <f>IMAGE("https://http2.mlstatic.com/D_NQ_NP_747048-MLB112399049682_062026-F.webp")</f>
        <v/>
      </c>
      <c r="B88" t="inlineStr">
        <is>
          <t>https://http2.mlstatic.com/D_NQ_NP_747048-MLB112399049682_062026-F.webp</t>
        </is>
      </c>
      <c r="C88" t="inlineStr">
        <is>
          <t>P-badge</t>
        </is>
      </c>
      <c r="D88" t="b">
        <v>1</v>
      </c>
      <c r="E88" t="b">
        <v>0</v>
      </c>
      <c r="F88" t="inlineStr">
        <is>
          <t>none</t>
        </is>
      </c>
      <c r="G88" t="inlineStr"/>
      <c r="H88" t="inlineStr">
        <is>
          <t>low</t>
        </is>
      </c>
      <c r="I88" t="b">
        <v>0</v>
      </c>
      <c r="J88" t="b">
        <v>0</v>
      </c>
      <c r="K88" t="inlineStr"/>
      <c r="L88" t="inlineStr">
        <is>
          <t>WMF
BOS AUTORES DO BESTSELLER LOGICOMIX
DEMOCRACIA
and
ALECOS PAPADATOS ABRAHAM KAWA ANNIE DI DONNA</t>
        </is>
      </c>
      <c r="M88" t="inlineStr"/>
    </row>
    <row r="89">
      <c r="A89">
        <f>IMAGE("https://http2.mlstatic.com/D_NQ_NP_603039-MLA99992478021_112025-F.webp")</f>
        <v/>
      </c>
      <c r="B89" t="inlineStr">
        <is>
          <t>https://http2.mlstatic.com/D_NQ_NP_603039-MLA99992478021_112025-F.webp</t>
        </is>
      </c>
      <c r="C89" t="inlineStr">
        <is>
          <t>P-badge</t>
        </is>
      </c>
      <c r="D89" t="b">
        <v>1</v>
      </c>
      <c r="E89" t="b">
        <v>0</v>
      </c>
      <c r="F89" t="inlineStr">
        <is>
          <t>none</t>
        </is>
      </c>
      <c r="G89" t="inlineStr"/>
      <c r="H89" t="inlineStr">
        <is>
          <t>low</t>
        </is>
      </c>
      <c r="I89" t="b">
        <v>1</v>
      </c>
      <c r="J89" t="b">
        <v>1</v>
      </c>
      <c r="K89" t="inlineStr"/>
      <c r="L89" t="inlineStr">
        <is>
          <t>POP! PIXAR 976
amazon
EXCLUSIVE
WOODY
VINYL FIGURE/FIGURINE EN VINYLE
FIGURA DE VINIL
ER DETOUFFEMENTA ADVEN
36 nos Partes peque
PELIGRO DE ASFIXA
A WARNING CHOKING FALASING pieces convert
ATTENTION: DANGER DE</t>
        </is>
      </c>
      <c r="M89" t="inlineStr"/>
    </row>
    <row r="90">
      <c r="A90">
        <f>IMAGE("https://http2.mlstatic.com/D_NQ_NP_672332-MCO112453962662_062026-F.webp")</f>
        <v/>
      </c>
      <c r="B90" t="inlineStr">
        <is>
          <t>https://http2.mlstatic.com/D_NQ_NP_672332-MCO112453962662_062026-F.webp</t>
        </is>
      </c>
      <c r="C90" t="inlineStr">
        <is>
          <t>P-badge</t>
        </is>
      </c>
      <c r="D90" t="b">
        <v>1</v>
      </c>
      <c r="E90" t="b">
        <v>1</v>
      </c>
      <c r="F90" t="inlineStr">
        <is>
          <t>badge</t>
        </is>
      </c>
      <c r="G90" t="inlineStr">
        <is>
          <t>Mercado Lider</t>
        </is>
      </c>
      <c r="H90" t="inlineStr">
        <is>
          <t>high</t>
        </is>
      </c>
      <c r="I90" t="b">
        <v>1</v>
      </c>
      <c r="J90" t="b">
        <v>1</v>
      </c>
      <c r="K90" t="inlineStr"/>
      <c r="L90" t="inlineStr">
        <is>
          <t>LIBRO
ORIGINAL
SEGURO
SOMOS
mercado
Lider
COMPR
libreriadela
Un mundo diferente</t>
        </is>
      </c>
      <c r="M90" t="inlineStr"/>
    </row>
    <row r="91">
      <c r="A91">
        <f>IMAGE("https://http2.mlstatic.com/D_NQ_NP_778804-CBT98687857029_112025-F.webp")</f>
        <v/>
      </c>
      <c r="B91" t="inlineStr">
        <is>
          <t>https://http2.mlstatic.com/D_NQ_NP_778804-CBT98687857029_112025-F.webp</t>
        </is>
      </c>
      <c r="C91" t="inlineStr">
        <is>
          <t>P-badge</t>
        </is>
      </c>
      <c r="D91" t="b">
        <v>1</v>
      </c>
      <c r="E91" t="b">
        <v>0</v>
      </c>
      <c r="F91" t="inlineStr">
        <is>
          <t>none</t>
        </is>
      </c>
      <c r="G91" t="inlineStr"/>
      <c r="H91" t="inlineStr">
        <is>
          <t>low</t>
        </is>
      </c>
      <c r="I91" t="b">
        <v>0</v>
      </c>
      <c r="J91" t="b">
        <v>0</v>
      </c>
      <c r="K91" t="inlineStr"/>
      <c r="L91" t="inlineStr">
        <is>
          <t>NEW YORK TIMES BESTSELLER
MAYA
ANGELOU
Letter To
My Daughter
"It's a book to give to
one's daughter, mother, son
or father, but definitely
one to be read and savored."
-Baltimore Sun</t>
        </is>
      </c>
      <c r="M91" t="inlineStr"/>
    </row>
    <row r="92">
      <c r="A92">
        <f>IMAGE("https://http2.mlstatic.com/D_NQ_NP_644129-MLA81073840257_112024-F.webp")</f>
        <v/>
      </c>
      <c r="B92" t="inlineStr">
        <is>
          <t>https://http2.mlstatic.com/D_NQ_NP_644129-MLA81073840257_112024-F.webp</t>
        </is>
      </c>
      <c r="C92" t="inlineStr">
        <is>
          <t>P-badge</t>
        </is>
      </c>
      <c r="D92" t="b">
        <v>1</v>
      </c>
      <c r="E92" t="b">
        <v>0</v>
      </c>
      <c r="F92" t="inlineStr">
        <is>
          <t>none</t>
        </is>
      </c>
      <c r="G92" t="inlineStr"/>
      <c r="H92" t="inlineStr">
        <is>
          <t>low</t>
        </is>
      </c>
      <c r="I92" t="b">
        <v>0</v>
      </c>
      <c r="J92" t="b">
        <v>0</v>
      </c>
      <c r="K92" t="inlineStr"/>
      <c r="L92" t="inlineStr">
        <is>
          <t>"Full of tension, urgency, atmosphere, and feeling--this is Riley Sager at his very best."
-LEE CHILD, #1 New York Times bestselling author
MIDDLE
OF THE
NIGHT
New York
Times
Bestseller
RILEY SAGER
author of THE ONLY ONE LEFT</t>
        </is>
      </c>
      <c r="M92" t="inlineStr"/>
    </row>
    <row r="93">
      <c r="A93">
        <f>IMAGE("https://http2.mlstatic.com/D_NQ_NP_781673-MCO113611617145_062026-F.webp")</f>
        <v/>
      </c>
      <c r="B93" t="inlineStr">
        <is>
          <t>https://http2.mlstatic.com/D_NQ_NP_781673-MCO113611617145_062026-F.webp</t>
        </is>
      </c>
      <c r="C93" t="inlineStr">
        <is>
          <t>P-badge</t>
        </is>
      </c>
      <c r="D93" t="b">
        <v>1</v>
      </c>
      <c r="E93" t="b">
        <v>1</v>
      </c>
      <c r="F93" t="inlineStr">
        <is>
          <t>badge</t>
        </is>
      </c>
      <c r="G93" t="inlineStr">
        <is>
          <t>Mercado Lider</t>
        </is>
      </c>
      <c r="H93" t="inlineStr">
        <is>
          <t>high</t>
        </is>
      </c>
      <c r="I93" t="b">
        <v>1</v>
      </c>
      <c r="J93" t="b">
        <v>1</v>
      </c>
      <c r="K93" t="inlineStr"/>
      <c r="L93" t="inlineStr">
        <is>
          <t>LIBRO
ORIGINAL
SEGURO
SOMOS
mercado
Lider
COMPR
libreriadela
Un mundo diferente</t>
        </is>
      </c>
      <c r="M93" t="inlineStr"/>
    </row>
    <row r="94">
      <c r="A94">
        <f>IMAGE("https://http2.mlstatic.com/D_NQ_NP_977915-MLC112330997478_062026-F.webp")</f>
        <v/>
      </c>
      <c r="B94" t="inlineStr">
        <is>
          <t>https://http2.mlstatic.com/D_NQ_NP_977915-MLC112330997478_062026-F.webp</t>
        </is>
      </c>
      <c r="C94" t="inlineStr">
        <is>
          <t>P-badge</t>
        </is>
      </c>
      <c r="D94" t="b">
        <v>1</v>
      </c>
      <c r="E94" t="b">
        <v>0</v>
      </c>
      <c r="F94" t="inlineStr">
        <is>
          <t>none</t>
        </is>
      </c>
      <c r="G94" t="inlineStr"/>
      <c r="H94" t="inlineStr">
        <is>
          <t>low</t>
        </is>
      </c>
      <c r="I94" t="b">
        <v>0</v>
      </c>
      <c r="J94" t="b">
        <v>0</v>
      </c>
      <c r="K94" t="inlineStr"/>
      <c r="L94" t="inlineStr">
        <is>
          <t>OFICINAS ENTREGA INMEDIATA</t>
        </is>
      </c>
      <c r="M94" t="inlineStr"/>
    </row>
    <row r="95">
      <c r="A95">
        <f>IMAGE("https://http2.mlstatic.com/D_NQ_NP_857841-MCO112450720962_062026-F.webp")</f>
        <v/>
      </c>
      <c r="B95" t="inlineStr">
        <is>
          <t>https://http2.mlstatic.com/D_NQ_NP_857841-MCO112450720962_062026-F.webp</t>
        </is>
      </c>
      <c r="C95" t="inlineStr">
        <is>
          <t>P-badge</t>
        </is>
      </c>
      <c r="D95" t="b">
        <v>1</v>
      </c>
      <c r="E95" t="b">
        <v>1</v>
      </c>
      <c r="F95" t="inlineStr">
        <is>
          <t>badge</t>
        </is>
      </c>
      <c r="G95" t="inlineStr">
        <is>
          <t>Mercado Lider</t>
        </is>
      </c>
      <c r="H95" t="inlineStr">
        <is>
          <t>high</t>
        </is>
      </c>
      <c r="I95" t="b">
        <v>1</v>
      </c>
      <c r="J95" t="b">
        <v>1</v>
      </c>
      <c r="K95" t="inlineStr"/>
      <c r="L95" t="inlineStr">
        <is>
          <t>LIBRO
ORIGINAL
SEGURO
SOMOS
mercado
Lider
COMPR
libreriadela
Un mundo diferente</t>
        </is>
      </c>
      <c r="M95" t="inlineStr"/>
    </row>
    <row r="96">
      <c r="A96">
        <f>IMAGE("https://http2.mlstatic.com/D_NQ_NP_630682-MLA113416361845_062026-F.webp")</f>
        <v/>
      </c>
      <c r="B96" t="inlineStr">
        <is>
          <t>https://http2.mlstatic.com/D_NQ_NP_630682-MLA113416361845_062026-F.webp</t>
        </is>
      </c>
      <c r="C96" t="inlineStr">
        <is>
          <t>P-badge</t>
        </is>
      </c>
      <c r="D96" t="b">
        <v>1</v>
      </c>
      <c r="E96" t="b">
        <v>1</v>
      </c>
      <c r="F96" t="inlineStr">
        <is>
          <t>badge</t>
        </is>
      </c>
      <c r="G96" t="inlineStr">
        <is>
          <t>un sello que imita una etiqueta oficial de MercadoLibre</t>
        </is>
      </c>
      <c r="H96" t="inlineStr">
        <is>
          <t>medium</t>
        </is>
      </c>
      <c r="I96" t="b">
        <v>0</v>
      </c>
      <c r="J96" t="b">
        <v>0</v>
      </c>
      <c r="K96" t="inlineStr"/>
      <c r="L96" t="inlineStr">
        <is>
          <t>THE NEW YORK TIMES BESTSELLER
Alarga
tu
esperanza
de
vida
Cómo la ciencia nos ayuda a controlar,
frenar y revertir el proceso de envejecimiento
Dr. David A Sinclair
con Matthew D. LaPlante
Grijalbovital</t>
        </is>
      </c>
      <c r="M96" t="inlineStr"/>
    </row>
    <row r="97">
      <c r="A97">
        <f>IMAGE("https://http2.mlstatic.com/D_NQ_NP_802031-MLM108694206195_032026-F.webp")</f>
        <v/>
      </c>
      <c r="B97" t="inlineStr">
        <is>
          <t>https://http2.mlstatic.com/D_NQ_NP_802031-MLM108694206195_032026-F.webp</t>
        </is>
      </c>
      <c r="C97" t="inlineStr">
        <is>
          <t>P-badge</t>
        </is>
      </c>
      <c r="D97" t="b">
        <v>1</v>
      </c>
      <c r="E97" t="b">
        <v>1</v>
      </c>
      <c r="F97" t="inlineStr">
        <is>
          <t>badge</t>
        </is>
      </c>
      <c r="G97" t="inlineStr">
        <is>
          <t>un sello con texto como 'Recomendado'</t>
        </is>
      </c>
      <c r="H97" t="inlineStr">
        <is>
          <t>medium</t>
        </is>
      </c>
      <c r="I97" t="b">
        <v>0</v>
      </c>
      <c r="J97" t="b">
        <v>0</v>
      </c>
      <c r="K97" t="inlineStr"/>
      <c r="L97" t="inlineStr">
        <is>
          <t>"Psychologists have spent
decades searching for the secret
of success, but Duckworth
is the one who found it."
-DANIEL GILBERT, author of
Stumbling on Happiness
ANGELA
DUCKWORTH
GRIT
THE POWER of PASSION
and PERSEVERANCE
MAL
THE
# 1 NEW YORK
TIMES
BESTSELLER</t>
        </is>
      </c>
      <c r="M97" t="inlineStr"/>
    </row>
    <row r="98">
      <c r="A98">
        <f>IMAGE("https://http2.mlstatic.com/D_NQ_NP_636719-MLA112399722356_062026-F.webp")</f>
        <v/>
      </c>
      <c r="B98" t="inlineStr">
        <is>
          <t>https://http2.mlstatic.com/D_NQ_NP_636719-MLA112399722356_062026-F.webp</t>
        </is>
      </c>
      <c r="C98" t="inlineStr">
        <is>
          <t>P-badge</t>
        </is>
      </c>
      <c r="D98" t="b">
        <v>1</v>
      </c>
      <c r="E98" t="b">
        <v>1</v>
      </c>
      <c r="F98" t="inlineStr">
        <is>
          <t>badge</t>
        </is>
      </c>
      <c r="G98" t="inlineStr">
        <is>
          <t>un sello que imita una etiqueta oficial de MercadoLibre</t>
        </is>
      </c>
      <c r="H98" t="inlineStr">
        <is>
          <t>medium</t>
        </is>
      </c>
      <c r="I98" t="b">
        <v>0</v>
      </c>
      <c r="J98" t="b">
        <v>0</v>
      </c>
      <c r="K98" t="inlineStr"/>
      <c r="L98" t="inlineStr">
        <is>
          <t>DEL AUTOR DEL BESTSELLER PIENSE Y HÁGASE RICO
VE NOTE
46279827I
EN
UNUN
OF
LODONE THI
NAPOLEON HILL
LA CIENCIA
DE LAS
VENTAS
CLAVES PARA CONVERTIRTE EN UN
VENDEDOR EXITOSO
Grijalbo</t>
        </is>
      </c>
      <c r="M98" t="inlineStr"/>
    </row>
    <row r="99">
      <c r="A99">
        <f>IMAGE("https://http2.mlstatic.com/D_NQ_NP_643959-MLA80563910200_112024-F.webp")</f>
        <v/>
      </c>
      <c r="B99" t="inlineStr">
        <is>
          <t>https://http2.mlstatic.com/D_NQ_NP_643959-MLA80563910200_112024-F.webp</t>
        </is>
      </c>
      <c r="C99" t="inlineStr">
        <is>
          <t>P-badge</t>
        </is>
      </c>
      <c r="D99" t="b">
        <v>1</v>
      </c>
      <c r="E99" t="b">
        <v>1</v>
      </c>
      <c r="F99" t="inlineStr">
        <is>
          <t>badge</t>
        </is>
      </c>
      <c r="G99" t="inlineStr">
        <is>
          <t>text overlay</t>
        </is>
      </c>
      <c r="H99" t="inlineStr">
        <is>
          <t>medium</t>
        </is>
      </c>
      <c r="I99" t="b">
        <v>0</v>
      </c>
      <c r="J99" t="b">
        <v>0</v>
      </c>
      <c r="K99" t="inlineStr"/>
      <c r="L99" t="inlineStr">
        <is>
          <t>MADELINE
HUNTER
AUTORA BESTSELLER DO NEW YORK TIMES
Editora
Charme
Herdeira
para Casar
HERDEIRAS DO DUQUE LIVRO 3</t>
        </is>
      </c>
      <c r="M99" t="inlineStr"/>
    </row>
    <row r="100">
      <c r="A100">
        <f>IMAGE("https://http2.mlstatic.com/D_NQ_NP_782808-MLA112238770870_062026-F.webp")</f>
        <v/>
      </c>
      <c r="B100" t="inlineStr">
        <is>
          <t>https://http2.mlstatic.com/D_NQ_NP_782808-MLA112238770870_062026-F.webp</t>
        </is>
      </c>
      <c r="C100" t="inlineStr">
        <is>
          <t>P-badge</t>
        </is>
      </c>
      <c r="D100" t="b">
        <v>1</v>
      </c>
      <c r="E100" t="b">
        <v>0</v>
      </c>
      <c r="F100" t="inlineStr">
        <is>
          <t>none</t>
        </is>
      </c>
      <c r="G100" t="inlineStr"/>
      <c r="H100" t="inlineStr">
        <is>
          <t>low</t>
        </is>
      </c>
      <c r="I100" t="b">
        <v>0</v>
      </c>
      <c r="J100" t="b">
        <v>0</v>
      </c>
      <c r="K100" t="inlineStr"/>
      <c r="L100" t="inlineStr">
        <is>
          <t>MULTI-MILLION COPY BESTSELLER ff
ORHAN
PAMUK
6
NIGHTS
A tale
of spies,
conspiracy
and murder."
Independent
PLAGUE
WINNER OF THE NOBEL PRIZE IN LITERATURE</t>
        </is>
      </c>
      <c r="M100" t="inlineStr"/>
    </row>
    <row r="101">
      <c r="A101">
        <f>IMAGE("https://http2.mlstatic.com/D_NQ_NP_699697-MLA112600162265_062026-F.webp")</f>
        <v/>
      </c>
      <c r="B101" t="inlineStr">
        <is>
          <t>https://http2.mlstatic.com/D_NQ_NP_699697-MLA112600162265_062026-F.webp</t>
        </is>
      </c>
      <c r="C101" t="inlineStr">
        <is>
          <t>P-badge</t>
        </is>
      </c>
      <c r="D101" t="b">
        <v>1</v>
      </c>
      <c r="E101" t="b">
        <v>1</v>
      </c>
      <c r="F101" t="inlineStr">
        <is>
          <t>badge</t>
        </is>
      </c>
      <c r="G101" t="inlineStr">
        <is>
          <t>un sello que imita una etiqueta oficial de MercadoLibre</t>
        </is>
      </c>
      <c r="H101" t="inlineStr">
        <is>
          <t>medium</t>
        </is>
      </c>
      <c r="I101" t="b">
        <v>0</v>
      </c>
      <c r="J101" t="b">
        <v>0</v>
      </c>
      <c r="K101" t="inlineStr"/>
      <c r="L101" t="inlineStr">
        <is>
          <t>JAN
KARON
The Final Novel in the Beloved Mitford Series
Light from Heaven
The NEW YORK TIMES Bestseller
Author of Home to Holly Springs</t>
        </is>
      </c>
      <c r="M101" t="inlineStr"/>
    </row>
    <row r="102">
      <c r="A102">
        <f>IMAGE("https://http2.mlstatic.com/D_NQ_NP_845211-MLB113434561959_062026-F.webp")</f>
        <v/>
      </c>
      <c r="B102" t="inlineStr">
        <is>
          <t>https://http2.mlstatic.com/D_NQ_NP_845211-MLB113434561959_062026-F.webp</t>
        </is>
      </c>
      <c r="C102" t="inlineStr">
        <is>
          <t>P-badge</t>
        </is>
      </c>
      <c r="D102" t="b">
        <v>1</v>
      </c>
      <c r="E102" t="b">
        <v>1</v>
      </c>
      <c r="F102" t="inlineStr">
        <is>
          <t>badge</t>
        </is>
      </c>
      <c r="G102" t="inlineStr">
        <is>
          <t>un sello con texto como 'Recomendado' o 'Hot Sale'</t>
        </is>
      </c>
      <c r="H102" t="inlineStr">
        <is>
          <t>medium</t>
        </is>
      </c>
      <c r="I102" t="b">
        <v>0</v>
      </c>
      <c r="J102" t="b">
        <v>0</v>
      </c>
      <c r="K102" t="inlineStr"/>
      <c r="L102" t="inlineStr">
        <is>
          <t>NESLAC COMFOR
COMPLETO, COM NUTRIENTES
FUNDAMENTAIS QUE CONTRIBUEM
COM O CRESCIMENTO
DO SEU FILHO.
NOVA
bologem
Nestle
NESLAC
COMFOR
FONTE DE CALCIO, ZINCO,
FERRO e VITAMINA A
RICO EM VITAMINAS CeD
*Conforme classificação da American Academy
of Pediatrics-AAP's Healthy Children website
Referências c</t>
        </is>
      </c>
      <c r="M102" t="inlineStr"/>
    </row>
    <row r="103">
      <c r="A103">
        <f>IMAGE("https://http2.mlstatic.com/D_NQ_NP_636506-MLA110573081264_052026-F.webp")</f>
        <v/>
      </c>
      <c r="B103" t="inlineStr">
        <is>
          <t>https://http2.mlstatic.com/D_NQ_NP_636506-MLA110573081264_052026-F.webp</t>
        </is>
      </c>
      <c r="C103" t="inlineStr">
        <is>
          <t>P-badge</t>
        </is>
      </c>
      <c r="D103" t="b">
        <v>1</v>
      </c>
      <c r="E103" t="b">
        <v>1</v>
      </c>
      <c r="F103" t="inlineStr">
        <is>
          <t>badge</t>
        </is>
      </c>
      <c r="G103" t="inlineStr">
        <is>
          <t>sellos que imitan etiquetas oficiales de MercadoLibre</t>
        </is>
      </c>
      <c r="H103" t="inlineStr">
        <is>
          <t>high</t>
        </is>
      </c>
      <c r="I103" t="b">
        <v>0</v>
      </c>
      <c r="J103" t="b">
        <v>0</v>
      </c>
      <c r="K103" t="inlineStr"/>
      <c r="L103" t="inlineStr">
        <is>
          <t xml:space="preserve">#1 NEW YORK TIMES BESTSELLER AND A 2012 LOS ANGELES TIMES BOOK PRIZE WINNER
STEPHEN KING
11/22/63
U.S. Weath
Cloudy, wi
Tepang
SATURDAY, NOVEMBER 23, 1963
A NOVEL
NOW A
hulu
ORIGINAL
EVENT SERIES
TEN CENTS
JFK SLAIN IN DALLAS,
LBJ TAKES OATH
First Lady Emerges
Unharmed; Shooter
Charged as Killer
by </t>
        </is>
      </c>
      <c r="M103" t="inlineStr"/>
    </row>
    <row r="104">
      <c r="A104">
        <f>IMAGE("https://http2.mlstatic.com/D_NQ_NP_964738-MLM112184075348_062026-F.webp")</f>
        <v/>
      </c>
      <c r="B104" t="inlineStr">
        <is>
          <t>https://http2.mlstatic.com/D_NQ_NP_964738-MLM112184075348_062026-F.webp</t>
        </is>
      </c>
      <c r="C104" t="inlineStr">
        <is>
          <t>P-badge</t>
        </is>
      </c>
      <c r="D104" t="b">
        <v>1</v>
      </c>
      <c r="E104" t="b">
        <v>0</v>
      </c>
      <c r="F104" t="inlineStr">
        <is>
          <t>none</t>
        </is>
      </c>
      <c r="G104" t="inlineStr"/>
      <c r="H104" t="inlineStr">
        <is>
          <t>low</t>
        </is>
      </c>
      <c r="I104" t="b">
        <v>0</v>
      </c>
      <c r="J104" t="b">
        <v>0</v>
      </c>
      <c r="K104" t="inlineStr"/>
      <c r="L104" t="inlineStr">
        <is>
          <t>NEW YORK TIMES BESTSELLER
DAVID
BROOKS
Author of The Road to Character
HOW TO
KNOW
A PERSON
The Art of Seeing Others Deeply
and Being Deeply Seen</t>
        </is>
      </c>
      <c r="M104" t="inlineStr"/>
    </row>
    <row r="105">
      <c r="A105">
        <f>IMAGE("https://http2.mlstatic.com/D_NQ_NP_746405-MLB113529250361_062026-F.webp")</f>
        <v/>
      </c>
      <c r="B105" t="inlineStr">
        <is>
          <t>https://http2.mlstatic.com/D_NQ_NP_746405-MLB113529250361_062026-F.webp</t>
        </is>
      </c>
      <c r="C105" t="inlineStr">
        <is>
          <t>P-badge</t>
        </is>
      </c>
      <c r="D105" t="b">
        <v>1</v>
      </c>
      <c r="E105" t="b">
        <v>1</v>
      </c>
      <c r="F105" t="inlineStr">
        <is>
          <t>badge</t>
        </is>
      </c>
      <c r="G105" t="inlineStr">
        <is>
          <t>Hot Sale</t>
        </is>
      </c>
      <c r="H105" t="inlineStr">
        <is>
          <t>high</t>
        </is>
      </c>
      <c r="I105" t="b">
        <v>1</v>
      </c>
      <c r="J105" t="b">
        <v>1</v>
      </c>
      <c r="K105" t="inlineStr"/>
      <c r="L105" t="inlineStr">
        <is>
          <t>酒红色
细腻绒面
亲肤手感
HOT SALE
升级
FANOYA
A NEW TACTILE EXPERIENCE AND
FASHION MADE IN CHINA</t>
        </is>
      </c>
      <c r="M105" t="inlineStr"/>
    </row>
    <row r="106">
      <c r="A106">
        <f>IMAGE("https://http2.mlstatic.com/D_NQ_NP_740054-MLB113513951357_062026-F.webp")</f>
        <v/>
      </c>
      <c r="B106" t="inlineStr">
        <is>
          <t>https://http2.mlstatic.com/D_NQ_NP_740054-MLB113513951357_062026-F.webp</t>
        </is>
      </c>
      <c r="C106" t="inlineStr">
        <is>
          <t>P-badge</t>
        </is>
      </c>
      <c r="D106" t="b">
        <v>1</v>
      </c>
      <c r="E106" t="b">
        <v>0</v>
      </c>
      <c r="F106" t="inlineStr">
        <is>
          <t>none</t>
        </is>
      </c>
      <c r="G106" t="inlineStr"/>
      <c r="H106" t="inlineStr">
        <is>
          <t>low</t>
        </is>
      </c>
      <c r="I106" t="b">
        <v>0</v>
      </c>
      <c r="J106" t="b">
        <v>0</v>
      </c>
      <c r="K106" t="inlineStr"/>
      <c r="L106" t="inlineStr">
        <is>
          <t>"Not for a page do the authors let any political theory or yarty off the
arguments, refutations and facts upon facts in this groping acct-The
NEW YORK TIMES BESTSELLER
ALL THE
DEVILS
ARE HERE
THE HIDDEN
HISTORY OF
THE FINANCIAL
CRISIS
AND JOE NOCERA
BETHANY MCLEAN
THE HIDDEN HISTORY OF THE FINANCIAL</t>
        </is>
      </c>
      <c r="M106" t="inlineStr"/>
    </row>
    <row r="107">
      <c r="A107">
        <f>IMAGE("https://http2.mlstatic.com/D_NQ_NP_875783-MLM113482275605_062026-F.webp")</f>
        <v/>
      </c>
      <c r="B107" t="inlineStr">
        <is>
          <t>https://http2.mlstatic.com/D_NQ_NP_875783-MLM113482275605_062026-F.webp</t>
        </is>
      </c>
      <c r="C107" t="inlineStr">
        <is>
          <t>P-badge</t>
        </is>
      </c>
      <c r="D107" t="b">
        <v>1</v>
      </c>
      <c r="E107" t="b">
        <v>0</v>
      </c>
      <c r="F107" t="inlineStr">
        <is>
          <t>none</t>
        </is>
      </c>
      <c r="G107" t="inlineStr"/>
      <c r="H107" t="inlineStr">
        <is>
          <t>low</t>
        </is>
      </c>
      <c r="I107" t="b">
        <v>0</v>
      </c>
      <c r="J107" t="b">
        <v>0</v>
      </c>
      <c r="K107" t="inlineStr"/>
      <c r="L107" t="inlineStr">
        <is>
          <t>FOREWORD BY GARRETT J. WHITE
WALL STREET JOURNAL AND USA TODAY BESTSELLER
EXPERT
SECRETS
THE UNDERGROUND PLAYBOOK
FOR CONVERTING YOUR ONLINE VISITORS
INTO LIFELONG CUSTOMERS
RUSSELL BRUNSON</t>
        </is>
      </c>
      <c r="M107" t="inlineStr"/>
    </row>
    <row r="108">
      <c r="A108">
        <f>IMAGE("https://http2.mlstatic.com/D_NQ_NP_644328-MLB112482047012_062026-F.webp")</f>
        <v/>
      </c>
      <c r="B108" t="inlineStr">
        <is>
          <t>https://http2.mlstatic.com/D_NQ_NP_644328-MLB112482047012_062026-F.webp</t>
        </is>
      </c>
      <c r="C108" t="inlineStr">
        <is>
          <t>P-badge</t>
        </is>
      </c>
      <c r="D108" t="b">
        <v>1</v>
      </c>
      <c r="E108" t="b">
        <v>0</v>
      </c>
      <c r="F108" t="inlineStr">
        <is>
          <t>none</t>
        </is>
      </c>
      <c r="G108" t="inlineStr"/>
      <c r="H108" t="inlineStr">
        <is>
          <t>low</t>
        </is>
      </c>
      <c r="I108" t="b">
        <v>0</v>
      </c>
      <c r="J108" t="b">
        <v>0</v>
      </c>
      <c r="K108" t="inlineStr"/>
      <c r="L108" t="inlineStr">
        <is>
          <t>Loco
A melhor avaliação na troca do seu carro
Localiza
seminovos
Localiza
seminovo</t>
        </is>
      </c>
      <c r="M108" t="inlineStr"/>
    </row>
    <row r="109">
      <c r="A109">
        <f>IMAGE("https://http2.mlstatic.com/D_NQ_NP_642339-MLM112184021258_062026-F.webp")</f>
        <v/>
      </c>
      <c r="B109" t="inlineStr">
        <is>
          <t>https://http2.mlstatic.com/D_NQ_NP_642339-MLM112184021258_062026-F.webp</t>
        </is>
      </c>
      <c r="C109" t="inlineStr">
        <is>
          <t>P-badge</t>
        </is>
      </c>
      <c r="D109" t="b">
        <v>1</v>
      </c>
      <c r="E109" t="b">
        <v>0</v>
      </c>
      <c r="F109" t="inlineStr">
        <is>
          <t>none</t>
        </is>
      </c>
      <c r="G109" t="inlineStr"/>
      <c r="H109" t="inlineStr">
        <is>
          <t>low</t>
        </is>
      </c>
      <c r="I109" t="b">
        <v>0</v>
      </c>
      <c r="J109" t="b">
        <v>0</v>
      </c>
      <c r="K109" t="inlineStr"/>
      <c r="L109" t="inlineStr">
        <is>
          <t>WITH YOUR PREVIOUSLY UNPUBLISHED SCENES
NATIONAL BESTSELLER
PULITZER
PRIZE
FINALIST
David Foster
Wallace
The Pale King
K
base income</t>
        </is>
      </c>
      <c r="M109" t="inlineStr"/>
    </row>
    <row r="110">
      <c r="A110">
        <f>IMAGE("https://http2.mlstatic.com/D_NQ_NP_983257-MLC112457982948_062026-F.webp")</f>
        <v/>
      </c>
      <c r="B110" t="inlineStr">
        <is>
          <t>https://http2.mlstatic.com/D_NQ_NP_983257-MLC112457982948_062026-F.webp</t>
        </is>
      </c>
      <c r="C110" t="inlineStr">
        <is>
          <t>P-badge</t>
        </is>
      </c>
      <c r="D110" t="b">
        <v>1</v>
      </c>
      <c r="E110" t="b">
        <v>1</v>
      </c>
      <c r="F110" t="inlineStr">
        <is>
          <t>badge</t>
        </is>
      </c>
      <c r="G110" t="inlineStr">
        <is>
          <t>un sello que imita una etiqueta oficial de MercadoLibre</t>
        </is>
      </c>
      <c r="H110" t="inlineStr">
        <is>
          <t>medium</t>
        </is>
      </c>
      <c r="I110" t="b">
        <v>0</v>
      </c>
      <c r="J110" t="b">
        <v>0</v>
      </c>
      <c r="K110" t="inlineStr"/>
      <c r="L110" t="inlineStr">
        <is>
          <t>Secretos. Traición.
Destinados el uno al otro.
Reckless
DE LA AUTORA BESTSELLER DE POWERLESS
LAUREN ROBERTS
8
ALFAGUARA</t>
        </is>
      </c>
      <c r="M110" t="inlineStr"/>
    </row>
    <row r="111">
      <c r="A111">
        <f>IMAGE("https://http2.mlstatic.com/D_NQ_NP_741401-MCO112453995064_062026-F.webp")</f>
        <v/>
      </c>
      <c r="B111" t="inlineStr">
        <is>
          <t>https://http2.mlstatic.com/D_NQ_NP_741401-MCO112453995064_062026-F.webp</t>
        </is>
      </c>
      <c r="C111" t="inlineStr">
        <is>
          <t>P-badge</t>
        </is>
      </c>
      <c r="D111" t="b">
        <v>1</v>
      </c>
      <c r="E111" t="b">
        <v>1</v>
      </c>
      <c r="F111" t="inlineStr">
        <is>
          <t>badge</t>
        </is>
      </c>
      <c r="G111" t="inlineStr">
        <is>
          <t>Mercado Lider</t>
        </is>
      </c>
      <c r="H111" t="inlineStr">
        <is>
          <t>high</t>
        </is>
      </c>
      <c r="I111" t="b">
        <v>1</v>
      </c>
      <c r="J111" t="b">
        <v>1</v>
      </c>
      <c r="K111" t="inlineStr"/>
      <c r="L111" t="inlineStr">
        <is>
          <t>LIBRO
ORIGINAL
SEGURO
SOMOS
mercado
Lider
COMPR
libreriadela
Un mundo diferente</t>
        </is>
      </c>
      <c r="M111" t="inlineStr"/>
    </row>
    <row r="112">
      <c r="A112">
        <f>IMAGE("https://http2.mlstatic.com/D_NQ_NP_951565-MLA112895384891_062026-F.webp")</f>
        <v/>
      </c>
      <c r="B112" t="inlineStr">
        <is>
          <t>https://http2.mlstatic.com/D_NQ_NP_951565-MLA112895384891_062026-F.webp</t>
        </is>
      </c>
      <c r="C112" t="inlineStr">
        <is>
          <t>P-badge</t>
        </is>
      </c>
      <c r="D112" t="b">
        <v>1</v>
      </c>
      <c r="E112" t="b">
        <v>1</v>
      </c>
      <c r="F112" t="inlineStr">
        <is>
          <t>badge</t>
        </is>
      </c>
      <c r="G112" t="inlineStr">
        <is>
          <t>Best Seller</t>
        </is>
      </c>
      <c r="H112" t="inlineStr">
        <is>
          <t>high</t>
        </is>
      </c>
      <c r="I112" t="b">
        <v>0</v>
      </c>
      <c r="J112" t="b">
        <v>0</v>
      </c>
      <c r="K112" t="inlineStr"/>
      <c r="L112" t="inlineStr">
        <is>
          <t>SI LO CREES,
LO CREAS
Elimina tus dudas, cambia tus creencias y suelta
el pasado para alcanzar todo tu potencial
BES
ELLER
BRIAN TRACY
Autor bestseller de The New York Times
CON CHRISTINA STEIN, PH.D.
DEBOLS!LLO</t>
        </is>
      </c>
      <c r="M112" t="inlineStr"/>
    </row>
    <row r="113">
      <c r="A113">
        <f>IMAGE("https://http2.mlstatic.com/D_NQ_NP_791946-CBT81360944668_122024-F.webp")</f>
        <v/>
      </c>
      <c r="B113" t="inlineStr">
        <is>
          <t>https://http2.mlstatic.com/D_NQ_NP_791946-CBT81360944668_122024-F.webp</t>
        </is>
      </c>
      <c r="C113" t="inlineStr">
        <is>
          <t>P-badge</t>
        </is>
      </c>
      <c r="D113" t="b">
        <v>1</v>
      </c>
      <c r="E113" t="b">
        <v>1</v>
      </c>
      <c r="F113" t="inlineStr">
        <is>
          <t>badge</t>
        </is>
      </c>
      <c r="G113" t="inlineStr">
        <is>
          <t>un sello que imita una etiqueta oficial de MercadoLibre</t>
        </is>
      </c>
      <c r="H113" t="inlineStr">
        <is>
          <t>medium</t>
        </is>
      </c>
      <c r="I113" t="b">
        <v>1</v>
      </c>
      <c r="J113" t="b">
        <v>1</v>
      </c>
      <c r="K113" t="inlineStr"/>
      <c r="L113" t="inlineStr">
        <is>
          <t>DELUXE
R
EXICO
Funko
POP INDIANA JONES &amp; HENRY JONES SR.
MA
BOBBLE-HEAD/FIGURINE À TÊTE OSCILLANTE/FIGURA CON CABEZA OSCILANTE
DELUXE
atemala
WH-38475
INDIANA JONES
XXXXXX
amazon
EXCLUSIVE
A WARNING: CHOKING HAZARDA ATTENTION: DANGER D'ÉTOUFFEMENT ADVERTENCIA: PELIGRO DE ASFIXIA
Small parts. Not sui</t>
        </is>
      </c>
      <c r="M113" t="inlineStr"/>
    </row>
    <row r="114">
      <c r="A114">
        <f>IMAGE("https://http2.mlstatic.com/D_NQ_NP_975533-MLM112459566652_062026-F.webp")</f>
        <v/>
      </c>
      <c r="B114" t="inlineStr">
        <is>
          <t>https://http2.mlstatic.com/D_NQ_NP_975533-MLM112459566652_062026-F.webp</t>
        </is>
      </c>
      <c r="C114" t="inlineStr">
        <is>
          <t>P-badge</t>
        </is>
      </c>
      <c r="D114" t="b">
        <v>1</v>
      </c>
      <c r="E114" t="b">
        <v>0</v>
      </c>
      <c r="F114" t="inlineStr">
        <is>
          <t>none</t>
        </is>
      </c>
      <c r="G114" t="inlineStr">
        <is>
          <t>text overlay on the product image</t>
        </is>
      </c>
      <c r="H114" t="inlineStr">
        <is>
          <t>medium</t>
        </is>
      </c>
      <c r="I114" t="b">
        <v>0</v>
      </c>
      <c r="J114" t="b">
        <v>0</v>
      </c>
      <c r="K114" t="inlineStr"/>
      <c r="L114" t="inlineStr">
        <is>
          <t>#THE NEW YORK TIMES BESTSELLER
WILLIAM
H. MCRAVEN
TIENDE
TU
CAMA
Y OTROS PEQUEÑOS
HÁBITOS QUE CAMBIARAN
TU VIDA Y EL MUNDO
darlente inteligente y con
JOS
NO T
ΤΟΙ
QUE F
El sufri
empieza y
en tu ca
DIANA
AGUILAR</t>
        </is>
      </c>
      <c r="M114" t="inlineStr"/>
    </row>
    <row r="115">
      <c r="A115">
        <f>IMAGE("https://http2.mlstatic.com/D_NQ_NP_681248-MLB113638369751_062026-F.webp")</f>
        <v/>
      </c>
      <c r="B115" t="inlineStr">
        <is>
          <t>https://http2.mlstatic.com/D_NQ_NP_681248-MLB113638369751_062026-F.webp</t>
        </is>
      </c>
      <c r="C115" t="inlineStr">
        <is>
          <t>P-badge</t>
        </is>
      </c>
      <c r="D115" t="b">
        <v>1</v>
      </c>
      <c r="E115" t="b">
        <v>1</v>
      </c>
      <c r="F115" t="inlineStr">
        <is>
          <t>delivery</t>
        </is>
      </c>
      <c r="G115" t="inlineStr">
        <is>
          <t>envio ágil</t>
        </is>
      </c>
      <c r="H115" t="inlineStr">
        <is>
          <t>high</t>
        </is>
      </c>
      <c r="I115" t="b">
        <v>1</v>
      </c>
      <c r="J115" t="b">
        <v>1</v>
      </c>
      <c r="K115" t="inlineStr"/>
      <c r="L115" t="inlineStr">
        <is>
          <t>Compra
segura e
entrega rápida
A
Pagamento
protegido
Envio ágil
Acompanhamento
do pedido
Atendimento
e suporte
Compre com confiança
e receba com segurança.
CALIZ
MODA FEMININA</t>
        </is>
      </c>
      <c r="M115" t="inlineStr"/>
    </row>
    <row r="116">
      <c r="A116">
        <f>IMAGE("https://http2.mlstatic.com/D_NQ_NP_678679-MLA113485878651_062026-F.webp")</f>
        <v/>
      </c>
      <c r="B116" t="inlineStr">
        <is>
          <t>https://http2.mlstatic.com/D_NQ_NP_678679-MLA113485878651_062026-F.webp</t>
        </is>
      </c>
      <c r="C116" t="inlineStr">
        <is>
          <t>P-badge</t>
        </is>
      </c>
      <c r="D116" t="b">
        <v>1</v>
      </c>
      <c r="E116" t="b">
        <v>1</v>
      </c>
      <c r="F116" t="inlineStr">
        <is>
          <t>badge</t>
        </is>
      </c>
      <c r="G116" t="inlineStr">
        <is>
          <t>un sello que imita una etiqueta oficial de MercadoLibre</t>
        </is>
      </c>
      <c r="H116" t="inlineStr">
        <is>
          <t>high</t>
        </is>
      </c>
      <c r="I116" t="b">
        <v>0</v>
      </c>
      <c r="J116" t="b">
        <v>0</v>
      </c>
      <c r="K116" t="inlineStr"/>
      <c r="L116" t="inlineStr">
        <is>
          <t>BESTSELLER DE THE NEW YORK TIMES
RUTH
WARE
«LA NUEVA AGATHA CHRISTIE.&gt;&gt;
THE IT CIRELA
CHICA
PERFECTA
UN GRAN THRILLER
NOVELA
NEWTON COMPTON EDITORES</t>
        </is>
      </c>
      <c r="M116" t="inlineStr"/>
    </row>
    <row r="117">
      <c r="A117">
        <f>IMAGE("https://http2.mlstatic.com/D_NQ_NP_964532-MLB113586829363_062026-F.webp")</f>
        <v/>
      </c>
      <c r="B117" t="inlineStr">
        <is>
          <t>https://http2.mlstatic.com/D_NQ_NP_964532-MLB113586829363_062026-F.webp</t>
        </is>
      </c>
      <c r="C117" t="inlineStr">
        <is>
          <t>P-badge</t>
        </is>
      </c>
      <c r="D117" t="b">
        <v>1</v>
      </c>
      <c r="E117" t="b">
        <v>0</v>
      </c>
      <c r="F117" t="inlineStr">
        <is>
          <t>none</t>
        </is>
      </c>
      <c r="G117" t="inlineStr"/>
      <c r="H117" t="inlineStr">
        <is>
          <t>low</t>
        </is>
      </c>
      <c r="I117" t="b">
        <v>0</v>
      </c>
      <c r="J117" t="b">
        <v>0</v>
      </c>
      <c r="K117" t="inlineStr"/>
      <c r="L117" t="inlineStr">
        <is>
          <t>REGINA NAVARRO LINS
FLÁVIO BRAGA
AMOR A TRÊS
BestSeller</t>
        </is>
      </c>
      <c r="M117" t="inlineStr"/>
    </row>
    <row r="118">
      <c r="A118">
        <f>IMAGE("https://http2.mlstatic.com/D_NQ_NP_858144-MLB112317710396_062026-F.webp")</f>
        <v/>
      </c>
      <c r="B118" t="inlineStr">
        <is>
          <t>https://http2.mlstatic.com/D_NQ_NP_858144-MLB112317710396_062026-F.webp</t>
        </is>
      </c>
      <c r="C118" t="inlineStr">
        <is>
          <t>P-badge</t>
        </is>
      </c>
      <c r="D118" t="b">
        <v>1</v>
      </c>
      <c r="E118" t="b">
        <v>0</v>
      </c>
      <c r="F118" t="inlineStr">
        <is>
          <t>none</t>
        </is>
      </c>
      <c r="G118" t="inlineStr"/>
      <c r="H118" t="inlineStr">
        <is>
          <t>low</t>
        </is>
      </c>
      <c r="I118" t="b">
        <v>0</v>
      </c>
      <c r="J118" t="b">
        <v>0</v>
      </c>
      <c r="K118" t="inlineStr"/>
      <c r="L118" t="inlineStr">
        <is>
          <t>0
ANOS
DO LEITE NINHO
RENDE 15 COPOS
Nestle
NINHO
LEITE INTEGRAL
ORIGINAL
DESDE 1944
LEITE EM PÓ INTEGRAL
CALCIO, FERRO E ZINCO
VITAMINAS A, C, DEE
380g
MS PANTE ESTE PRODUTO HAD DEVE SER USADO PARA ALIMENTAR CRIANÇAS MENORES DE 1 (UM) ANO DE IDADE, EXCETO POR INDICAÇÃO EXPRESSA
CONSTA O ALEITAMENTO</t>
        </is>
      </c>
      <c r="M118" t="inlineStr"/>
    </row>
    <row r="119">
      <c r="A119">
        <f>IMAGE("https://http2.mlstatic.com/D_NQ_NP_786703-MLM112183682952_062026-F.webp")</f>
        <v/>
      </c>
      <c r="B119" t="inlineStr">
        <is>
          <t>https://http2.mlstatic.com/D_NQ_NP_786703-MLM112183682952_062026-F.webp</t>
        </is>
      </c>
      <c r="C119" t="inlineStr">
        <is>
          <t>P-badge</t>
        </is>
      </c>
      <c r="D119" t="b">
        <v>1</v>
      </c>
      <c r="E119" t="b">
        <v>0</v>
      </c>
      <c r="F119" t="inlineStr">
        <is>
          <t>none</t>
        </is>
      </c>
      <c r="G119" t="inlineStr"/>
      <c r="H119" t="inlineStr">
        <is>
          <t>low</t>
        </is>
      </c>
      <c r="I119" t="b">
        <v>0</v>
      </c>
      <c r="J119" t="b">
        <v>0</v>
      </c>
      <c r="K119" t="inlineStr"/>
      <c r="L119" t="inlineStr">
        <is>
          <t>"A funny, fast-paced social satire about privilege in America.-The Atlantic
New York Times Bestseller
Such
a FUN
AGE
Longated
The
2020
Booker
Prize
a novel
REESE'S
BOOK
CLUB
KILEY REID</t>
        </is>
      </c>
      <c r="M119" t="inlineStr"/>
    </row>
    <row r="120">
      <c r="A120">
        <f>IMAGE("https://http2.mlstatic.com/D_NQ_NP_959424-MLM113329393001_062026-F.webp")</f>
        <v/>
      </c>
      <c r="B120" t="inlineStr">
        <is>
          <t>https://http2.mlstatic.com/D_NQ_NP_959424-MLM113329393001_062026-F.webp</t>
        </is>
      </c>
      <c r="C120" t="inlineStr">
        <is>
          <t>P-badge</t>
        </is>
      </c>
      <c r="D120" t="b">
        <v>1</v>
      </c>
      <c r="E120" t="b">
        <v>0</v>
      </c>
      <c r="F120" t="inlineStr">
        <is>
          <t>none</t>
        </is>
      </c>
      <c r="G120" t="inlineStr"/>
      <c r="H120" t="inlineStr">
        <is>
          <t>low</t>
        </is>
      </c>
      <c r="I120" t="b">
        <v>0</v>
      </c>
      <c r="J120" t="b">
        <v>0</v>
      </c>
      <c r="K120" t="inlineStr"/>
      <c r="L120" t="inlineStr">
        <is>
          <t>TRANSLATED INTO 38 LANGUAGES
Mel Robbins
International Best-Selling Author of
The 5 Second Rule
NEW YORK
TIMES
The
BESTSELLER
High 5
Habit
Take control of your life
with one simple habit</t>
        </is>
      </c>
      <c r="M120" t="inlineStr"/>
    </row>
    <row r="121">
      <c r="A121">
        <f>IMAGE("https://http2.mlstatic.com/D_NQ_NP_669398-MCO113618569127_062026-F.webp")</f>
        <v/>
      </c>
      <c r="B121" t="inlineStr">
        <is>
          <t>https://http2.mlstatic.com/D_NQ_NP_669398-MCO113618569127_062026-F.webp</t>
        </is>
      </c>
      <c r="C121" t="inlineStr">
        <is>
          <t>P-badge</t>
        </is>
      </c>
      <c r="D121" t="b">
        <v>1</v>
      </c>
      <c r="E121" t="b">
        <v>1</v>
      </c>
      <c r="F121" t="inlineStr">
        <is>
          <t>badge</t>
        </is>
      </c>
      <c r="G121" t="inlineStr">
        <is>
          <t>Mercado Lider</t>
        </is>
      </c>
      <c r="H121" t="inlineStr">
        <is>
          <t>high</t>
        </is>
      </c>
      <c r="I121" t="b">
        <v>1</v>
      </c>
      <c r="J121" t="b">
        <v>1</v>
      </c>
      <c r="K121" t="inlineStr"/>
      <c r="L121" t="inlineStr">
        <is>
          <t>LIBRO
ORIGINAL
SEGURO
SOMOS
mercado
Lider
COMPR
libreriadela
Un mundo diferente</t>
        </is>
      </c>
      <c r="M121" t="inlineStr"/>
    </row>
    <row r="122">
      <c r="A122">
        <f>IMAGE("https://http2.mlstatic.com/D_NQ_NP_870193-MCO112260399574_062026-F.webp")</f>
        <v/>
      </c>
      <c r="B122" t="inlineStr">
        <is>
          <t>https://http2.mlstatic.com/D_NQ_NP_870193-MCO112260399574_062026-F.webp</t>
        </is>
      </c>
      <c r="C122" t="inlineStr">
        <is>
          <t>P-badge</t>
        </is>
      </c>
      <c r="D122" t="b">
        <v>1</v>
      </c>
      <c r="E122" t="b">
        <v>0</v>
      </c>
      <c r="F122" t="inlineStr">
        <is>
          <t>none</t>
        </is>
      </c>
      <c r="G122" t="inlineStr"/>
      <c r="H122" t="inlineStr">
        <is>
          <t>low</t>
        </is>
      </c>
      <c r="I122" t="b">
        <v>0</v>
      </c>
      <c r="J122" t="b">
        <v>0</v>
      </c>
      <c r="K122" t="inlineStr"/>
      <c r="L122" t="inlineStr">
        <is>
          <t>THE THRILLING NEW YORK TIMES BESTSELLER
WILBUR
SMITH
"Action is Wilbur Smith's game, and he is a master."
The Washington Post Book World...
WARLOCK</t>
        </is>
      </c>
      <c r="M122" t="inlineStr"/>
    </row>
    <row r="123">
      <c r="A123">
        <f>IMAGE("https://http2.mlstatic.com/D_NQ_NP_792138-MLA113526786193_062026-F.webp")</f>
        <v/>
      </c>
      <c r="B123" t="inlineStr">
        <is>
          <t>https://http2.mlstatic.com/D_NQ_NP_792138-MLA113526786193_062026-F.webp</t>
        </is>
      </c>
      <c r="C123" t="inlineStr">
        <is>
          <t>P-badge</t>
        </is>
      </c>
      <c r="D123" t="b">
        <v>1</v>
      </c>
      <c r="E123" t="b">
        <v>1</v>
      </c>
      <c r="F123" t="inlineStr">
        <is>
          <t>delivery</t>
        </is>
      </c>
      <c r="G123" t="inlineStr">
        <is>
          <t>ENVÍO GRATIS</t>
        </is>
      </c>
      <c r="H123" t="inlineStr">
        <is>
          <t>high</t>
        </is>
      </c>
      <c r="I123" t="b">
        <v>1</v>
      </c>
      <c r="J123" t="b">
        <v>1</v>
      </c>
      <c r="K123" t="inlineStr"/>
      <c r="L123" t="inlineStr">
        <is>
          <t>3
COMBO TRIO
X3 LIBROS - BESTSELLERS
GEORGE S. CLASON
El hombre
MÁS RICO
de Babilonia
Cómo alcanzar el éxito y solucionar
sus problemas financieros
NAPOLEON HILL
PIENSEY
HÁGASE
RICO
DESBLOQUEA
TU MENTE
MILLONARIA
Cómo ganar dinero feliz y crear riqueza ilimitada
para vivir en abundancia con libertad</t>
        </is>
      </c>
      <c r="M123" t="inlineStr"/>
    </row>
    <row r="124">
      <c r="A124">
        <f>IMAGE("https://http2.mlstatic.com/D_NQ_NP_971889-MLB113510978619_062026-F.webp")</f>
        <v/>
      </c>
      <c r="B124" t="inlineStr">
        <is>
          <t>https://http2.mlstatic.com/D_NQ_NP_971889-MLB113510978619_062026-F.webp</t>
        </is>
      </c>
      <c r="C124" t="inlineStr">
        <is>
          <t>P-badge</t>
        </is>
      </c>
      <c r="D124" t="b">
        <v>1</v>
      </c>
      <c r="E124" t="b">
        <v>0</v>
      </c>
      <c r="F124" t="inlineStr">
        <is>
          <t>none</t>
        </is>
      </c>
      <c r="G124" t="inlineStr"/>
      <c r="H124" t="inlineStr">
        <is>
          <t>low</t>
        </is>
      </c>
      <c r="I124" t="b">
        <v>0</v>
      </c>
      <c r="J124" t="b">
        <v>0</v>
      </c>
      <c r="K124" t="inlineStr"/>
      <c r="L124" t="inlineStr">
        <is>
          <t>LUBRAX
SINTETICO PREMIUM
OW-20
SQ
KSAC
GF-7A
RECOMENDADO PARA
MONTADORAS
TOP
AUTO
PRO
RECOMENDADO PARA
MONTADORAS
TOP
AUTO
PRO
RECOMENDADO PARA
MONTADORAS
TOP
AUTO
LUBRAX
000
SINTÉTICO PREMIUM
0W-20
AP
SQ
ESAC
GF-7A
TECNOLOGIA
SUPERIOR
PARA CORREIA
BANHADA ACLCO
MAJOMA
PERFORMANCE
LUBRAX
LUBRAX
SINT</t>
        </is>
      </c>
      <c r="M124" t="inlineStr"/>
    </row>
    <row r="125">
      <c r="A125">
        <f>IMAGE("https://http2.mlstatic.com/D_NQ_NP_915562-MCO73016288181_112023-F.webp")</f>
        <v/>
      </c>
      <c r="B125" t="inlineStr">
        <is>
          <t>https://http2.mlstatic.com/D_NQ_NP_915562-MCO73016288181_112023-F.webp</t>
        </is>
      </c>
      <c r="C125" t="inlineStr">
        <is>
          <t>P-badge</t>
        </is>
      </c>
      <c r="D125" t="b">
        <v>1</v>
      </c>
      <c r="E125" t="b">
        <v>1</v>
      </c>
      <c r="F125" t="inlineStr">
        <is>
          <t>badge</t>
        </is>
      </c>
      <c r="G125" t="inlineStr">
        <is>
          <t>Mercado Lider</t>
        </is>
      </c>
      <c r="H125" t="inlineStr">
        <is>
          <t>high</t>
        </is>
      </c>
      <c r="I125" t="b">
        <v>1</v>
      </c>
      <c r="J125" t="b">
        <v>1</v>
      </c>
      <c r="K125" t="inlineStr"/>
      <c r="L125" t="inlineStr">
        <is>
          <t>LIBRO
ORIGINAL
SEGURO
SOMOS
mercado
Lider
COMPR
libreriadela
Un mundo diferente</t>
        </is>
      </c>
      <c r="M125" t="inlineStr"/>
    </row>
    <row r="126">
      <c r="A126">
        <f>IMAGE("https://http2.mlstatic.com/D_NQ_NP_873601-MLM113454260487_062026-F.webp")</f>
        <v/>
      </c>
      <c r="B126" t="inlineStr">
        <is>
          <t>https://http2.mlstatic.com/D_NQ_NP_873601-MLM113454260487_062026-F.webp</t>
        </is>
      </c>
      <c r="C126" t="inlineStr">
        <is>
          <t>P-badge</t>
        </is>
      </c>
      <c r="D126" t="b">
        <v>1</v>
      </c>
      <c r="E126" t="b">
        <v>1</v>
      </c>
      <c r="F126" t="inlineStr">
        <is>
          <t>badge</t>
        </is>
      </c>
      <c r="G126" t="inlineStr">
        <is>
          <t>un sello con texto como 'Recomendado' o 'Hot Sale' dibujado sobre la imagen</t>
        </is>
      </c>
      <c r="H126" t="inlineStr">
        <is>
          <t>medium</t>
        </is>
      </c>
      <c r="I126" t="b">
        <v>0</v>
      </c>
      <c r="J126" t="b">
        <v>0</v>
      </c>
      <c r="K126" t="inlineStr"/>
      <c r="L126" t="inlineStr">
        <is>
          <t xml:space="preserve">AGUILAR
Memoir bestseller en Estados Unidos
LA HABITACIÓN
VACIA
Aprender a convivir con la soledad
EMILY WHITE
«Enhorabuena a Emily White por haber escrito
este singular libro, que me parece necesario a la
par que evolutivo. LA HABITACIÓN VACÍA es una
obra maestra sobre el tema, una memoir profunda
</t>
        </is>
      </c>
      <c r="M126" t="inlineStr"/>
    </row>
    <row r="127">
      <c r="A127">
        <f>IMAGE("https://http2.mlstatic.com/D_NQ_NP_818866-MLB112353502724_062026-F.webp")</f>
        <v/>
      </c>
      <c r="B127" t="inlineStr">
        <is>
          <t>https://http2.mlstatic.com/D_NQ_NP_818866-MLB112353502724_062026-F.webp</t>
        </is>
      </c>
      <c r="C127" t="inlineStr">
        <is>
          <t>P-badge</t>
        </is>
      </c>
      <c r="D127" t="b">
        <v>1</v>
      </c>
      <c r="E127" t="b">
        <v>1</v>
      </c>
      <c r="F127" t="inlineStr">
        <is>
          <t>badge</t>
        </is>
      </c>
      <c r="G127" t="inlineStr">
        <is>
          <t>un sello que imita una etiqueta oficial de MercadoLibre</t>
        </is>
      </c>
      <c r="H127" t="inlineStr">
        <is>
          <t>medium</t>
        </is>
      </c>
      <c r="I127" t="b">
        <v>0</v>
      </c>
      <c r="J127" t="b">
        <v>0</v>
      </c>
      <c r="K127" t="inlineStr"/>
      <c r="L127" t="inlineStr">
        <is>
          <t>BESTSELLER INTERNACIONAL
PROPAGANDA
COMO A MÍDIA E OS POLÍTICOS
MANIPULAM AS INFORMAÇÕES
NA DEMOCRACIA
EDWARD BERNAYS</t>
        </is>
      </c>
      <c r="M127" t="inlineStr"/>
    </row>
    <row r="128">
      <c r="A128">
        <f>IMAGE("https://http2.mlstatic.com/D_NQ_NP_768697-MCO113618607907_062026-F.webp")</f>
        <v/>
      </c>
      <c r="B128" t="inlineStr">
        <is>
          <t>https://http2.mlstatic.com/D_NQ_NP_768697-MCO113618607907_062026-F.webp</t>
        </is>
      </c>
      <c r="C128" t="inlineStr">
        <is>
          <t>P-badge</t>
        </is>
      </c>
      <c r="D128" t="b">
        <v>1</v>
      </c>
      <c r="E128" t="b">
        <v>1</v>
      </c>
      <c r="F128" t="inlineStr">
        <is>
          <t>badge</t>
        </is>
      </c>
      <c r="G128" t="inlineStr">
        <is>
          <t>Mercado Lider</t>
        </is>
      </c>
      <c r="H128" t="inlineStr">
        <is>
          <t>high</t>
        </is>
      </c>
      <c r="I128" t="b">
        <v>1</v>
      </c>
      <c r="J128" t="b">
        <v>1</v>
      </c>
      <c r="K128" t="inlineStr"/>
      <c r="L128" t="inlineStr">
        <is>
          <t>LIBRO
ORIGINAL
SEGURO
SOMOS
mercado
Lider
COMPR
libreriadela
Un mundo diferente</t>
        </is>
      </c>
      <c r="M128" t="inlineStr"/>
    </row>
    <row r="129">
      <c r="A129">
        <f>IMAGE("https://http2.mlstatic.com/D_NQ_NP_644289-MLB112458468830_062026-F.webp")</f>
        <v/>
      </c>
      <c r="B129" t="inlineStr">
        <is>
          <t>https://http2.mlstatic.com/D_NQ_NP_644289-MLB112458468830_062026-F.webp</t>
        </is>
      </c>
      <c r="C129" t="inlineStr">
        <is>
          <t>P-badge</t>
        </is>
      </c>
      <c r="D129" t="b">
        <v>1</v>
      </c>
      <c r="E129" t="b">
        <v>1</v>
      </c>
      <c r="F129" t="inlineStr">
        <is>
          <t>badge</t>
        </is>
      </c>
      <c r="G129" t="inlineStr">
        <is>
          <t>Mas vendido</t>
        </is>
      </c>
      <c r="H129" t="inlineStr">
        <is>
          <t>medium</t>
        </is>
      </c>
      <c r="I129" t="b">
        <v>0</v>
      </c>
      <c r="J129" t="b">
        <v>0</v>
      </c>
      <c r="K129" t="inlineStr"/>
      <c r="L129" t="inlineStr">
        <is>
          <t>LEIA ATENTAMENTE O RÓTULO ANTES DE USAR O PRODUTO.
FORMATO ANATÓMICO
Facilita a pega
Ype
160 g
Sabão
Glicerinado
Ype
COM COCO
E TOQUE DE AVEIA
Limpeza e
CUIDADO
Rende e
Dura Mais
HIPOALERGÊNICO
Aprovado e Recomendado
por Dermatologistas
CONSERVE FORA DO ALCANCE DAS CRIANÇAS.</t>
        </is>
      </c>
      <c r="M129" t="inlineStr"/>
    </row>
    <row r="130">
      <c r="A130">
        <f>IMAGE("https://http2.mlstatic.com/D_NQ_NP_669431-MLA112266858566_062026-F.webp")</f>
        <v/>
      </c>
      <c r="B130" t="inlineStr">
        <is>
          <t>https://http2.mlstatic.com/D_NQ_NP_669431-MLA112266858566_062026-F.webp</t>
        </is>
      </c>
      <c r="C130" t="inlineStr">
        <is>
          <t>P-badge</t>
        </is>
      </c>
      <c r="D130" t="b">
        <v>1</v>
      </c>
      <c r="E130" t="b">
        <v>1</v>
      </c>
      <c r="F130" t="inlineStr">
        <is>
          <t>badge</t>
        </is>
      </c>
      <c r="G130" t="inlineStr">
        <is>
          <t>un sello que imita una etiqueta oficial de MercadoLibre</t>
        </is>
      </c>
      <c r="H130" t="inlineStr">
        <is>
          <t>medium</t>
        </is>
      </c>
      <c r="I130" t="b">
        <v>0</v>
      </c>
      <c r="J130" t="b">
        <v>0</v>
      </c>
      <c r="K130" t="inlineStr"/>
      <c r="L130" t="inlineStr">
        <is>
          <t>&lt;&lt;Yarros es la heredera indiscutible de Harry Potter e inspira el mismo
nivel de devoción que Los Juegos del Hambre». --THE GUARDIAN
DESAFÍA LA OSCURIDAD
ALAS DE
ONIX
BESTSELLER DEL NEW YORK TIMES
-------
REBECCA YARROS
Planeta</t>
        </is>
      </c>
      <c r="M130" t="inlineStr"/>
    </row>
    <row r="131">
      <c r="A131">
        <f>IMAGE("https://http2.mlstatic.com/D_NQ_NP_793978-MLA99446190024_112025-F.webp")</f>
        <v/>
      </c>
      <c r="B131" t="inlineStr">
        <is>
          <t>https://http2.mlstatic.com/D_NQ_NP_793978-MLA99446190024_112025-F.webp</t>
        </is>
      </c>
      <c r="C131" t="inlineStr">
        <is>
          <t>P-badge</t>
        </is>
      </c>
      <c r="D131" t="b">
        <v>1</v>
      </c>
      <c r="E131" t="b">
        <v>0</v>
      </c>
      <c r="F131" t="inlineStr">
        <is>
          <t>none</t>
        </is>
      </c>
      <c r="G131" t="inlineStr">
        <is>
          <t>text or object overlaid on the image</t>
        </is>
      </c>
      <c r="H131" t="inlineStr">
        <is>
          <t>low</t>
        </is>
      </c>
      <c r="I131" t="b">
        <v>0</v>
      </c>
      <c r="J131" t="b">
        <v>0</v>
      </c>
      <c r="K131" t="inlineStr"/>
      <c r="L131" t="inlineStr">
        <is>
          <t xml:space="preserve">UPINARY -
RECOMENDADO
POR VETERINÁRIOS
-PH
Reduz o p
da Urina
X PURINA
PRO PLAN
URINARY
GATOS ADULTOS TRATO URINÁRIO
ELABORADA COM CARNE DE FRANGO"
PROTEINA
36%
Optitract
with
Dual Stone
Protection
Saúde total
do trato
urinário Inferior
PURINA
PRO PLAN
URINARY
GATOS ADULTOS-TRATO URINARIO
ELABORADA </t>
        </is>
      </c>
      <c r="M131" t="inlineStr"/>
    </row>
    <row r="132">
      <c r="A132">
        <f>IMAGE("https://http2.mlstatic.com/D_NQ_NP_613502-MLA82355475746_022025-F.webp")</f>
        <v/>
      </c>
      <c r="B132" t="inlineStr">
        <is>
          <t>https://http2.mlstatic.com/D_NQ_NP_613502-MLA82355475746_022025-F.webp</t>
        </is>
      </c>
      <c r="C132" t="inlineStr">
        <is>
          <t>P-badge</t>
        </is>
      </c>
      <c r="D132" t="b">
        <v>1</v>
      </c>
      <c r="E132" t="b">
        <v>0</v>
      </c>
      <c r="F132" t="inlineStr">
        <is>
          <t>none</t>
        </is>
      </c>
      <c r="G132" t="inlineStr"/>
      <c r="H132" t="inlineStr">
        <is>
          <t>low</t>
        </is>
      </c>
      <c r="I132" t="b">
        <v>0</v>
      </c>
      <c r="J132" t="b">
        <v>0</v>
      </c>
      <c r="K132" t="inlineStr"/>
      <c r="L132" t="inlineStr">
        <is>
          <t xml:space="preserve">Ford FORD PARTS
12120779
GN1Z-6C315-A 1X
GN1A-6C315-AB
SENSOR / SENSOR
CAPTEUR/SENSOR
MADE IN INDIA FABRICADO EN INDIA
FABRIQUE EN INDE
OLEX0,025KG
13 MAY2021
འ་
LSBO011U
Contents conform to Federal Motor Vehicle Safety Standards, if any are applicable. Recommended by Ford Motor Company. Printed in </t>
        </is>
      </c>
      <c r="M132" t="inlineStr"/>
    </row>
    <row r="133">
      <c r="A133">
        <f>IMAGE("https://http2.mlstatic.com/D_NQ_NP_602204-MLA113622405899_062026-F.webp")</f>
        <v/>
      </c>
      <c r="B133" t="inlineStr">
        <is>
          <t>https://http2.mlstatic.com/D_NQ_NP_602204-MLA113622405899_062026-F.webp</t>
        </is>
      </c>
      <c r="C133" t="inlineStr">
        <is>
          <t>P-badge</t>
        </is>
      </c>
      <c r="D133" t="b">
        <v>1</v>
      </c>
      <c r="E133" t="b">
        <v>1</v>
      </c>
      <c r="F133" t="inlineStr">
        <is>
          <t>badge</t>
        </is>
      </c>
      <c r="G133" t="inlineStr">
        <is>
          <t>un sello que imita una etiqueta oficial de MercadoLibre</t>
        </is>
      </c>
      <c r="H133" t="inlineStr">
        <is>
          <t>medium</t>
        </is>
      </c>
      <c r="I133" t="b">
        <v>0</v>
      </c>
      <c r="J133" t="b">
        <v>0</v>
      </c>
      <c r="K133" t="inlineStr"/>
      <c r="L133" t="inlineStr">
        <is>
          <t>Del autor del bestseller internacional 12 reglas para vivir
JORDAN B.
PETERSON
NOSOTROS
QUE LUCHAMOS CON
DIOS
UNA NUEVA PERSPECTIVA
SOBRE LA MAYOR HISTORIA
JAMÁS CONTADA
Planeta</t>
        </is>
      </c>
      <c r="M133" t="inlineStr"/>
    </row>
    <row r="134">
      <c r="A134">
        <f>IMAGE("https://http2.mlstatic.com/D_NQ_NP_728367-MLA41780458398_052020-F.webp")</f>
        <v/>
      </c>
      <c r="B134" t="inlineStr">
        <is>
          <t>https://http2.mlstatic.com/D_NQ_NP_728367-MLA41780458398_052020-F.webp</t>
        </is>
      </c>
      <c r="C134" t="inlineStr">
        <is>
          <t>P-badge</t>
        </is>
      </c>
      <c r="D134" t="b">
        <v>1</v>
      </c>
      <c r="E134" t="b">
        <v>1</v>
      </c>
      <c r="F134" t="inlineStr">
        <is>
          <t>badge</t>
        </is>
      </c>
      <c r="G134" t="inlineStr">
        <is>
          <t>un sello que imita una etiqueta oficial de MercadoLibre</t>
        </is>
      </c>
      <c r="H134" t="inlineStr">
        <is>
          <t>medium</t>
        </is>
      </c>
      <c r="I134" t="b">
        <v>0</v>
      </c>
      <c r="J134" t="b">
        <v>0</v>
      </c>
      <c r="K134" t="inlineStr"/>
      <c r="L134" t="inlineStr">
        <is>
          <t>Bestseller n.º 1 de The New York Times
del autor de El cisne negro y Antifragil
NASSIM
NICHOLAS
TALEB
JUGARSE
LA PIEL
ASIMETRÍAS OCULTAS EN LA VIDA COTIDIANA
PAIDÓS</t>
        </is>
      </c>
      <c r="M134" t="inlineStr"/>
    </row>
    <row r="135">
      <c r="A135">
        <f>IMAGE("https://http2.mlstatic.com/D_NQ_NP_792458-MLA113420556563_062026-F.webp")</f>
        <v/>
      </c>
      <c r="B135" t="inlineStr">
        <is>
          <t>https://http2.mlstatic.com/D_NQ_NP_792458-MLA113420556563_062026-F.webp</t>
        </is>
      </c>
      <c r="C135" t="inlineStr">
        <is>
          <t>P-badge</t>
        </is>
      </c>
      <c r="D135" t="b">
        <v>1</v>
      </c>
      <c r="E135" t="b">
        <v>0</v>
      </c>
      <c r="F135" t="inlineStr">
        <is>
          <t>none</t>
        </is>
      </c>
      <c r="G135" t="inlineStr"/>
      <c r="H135" t="inlineStr">
        <is>
          <t>low</t>
        </is>
      </c>
      <c r="I135" t="b">
        <v>0</v>
      </c>
      <c r="J135" t="b">
        <v>0</v>
      </c>
      <c r="K135" t="inlineStr"/>
      <c r="L135" t="inlineStr">
        <is>
          <t>ROCCO
HISTORIA DE
NEIL GAIMAN
MICHAEL
REAVES
SONHO DE PRATA
SEQUÊNCIA DO BESTSELLER DO NEW YORK TIMES ENTREMUNDOS
ESCRITA POR MICHAEL REAVES E MALLORY REAVEST</t>
        </is>
      </c>
      <c r="M135" t="inlineStr"/>
    </row>
    <row r="136">
      <c r="A136">
        <f>IMAGE("https://http2.mlstatic.com/D_NQ_NP_985234-MCO111790238840_062026-F.webp")</f>
        <v/>
      </c>
      <c r="B136" t="inlineStr">
        <is>
          <t>https://http2.mlstatic.com/D_NQ_NP_985234-MCO111790238840_062026-F.webp</t>
        </is>
      </c>
      <c r="C136" t="inlineStr">
        <is>
          <t>P-badge</t>
        </is>
      </c>
      <c r="D136" t="b">
        <v>1</v>
      </c>
      <c r="E136" t="b">
        <v>1</v>
      </c>
      <c r="F136" t="inlineStr">
        <is>
          <t>badge</t>
        </is>
      </c>
      <c r="G136" t="inlineStr">
        <is>
          <t>Mercado Lider</t>
        </is>
      </c>
      <c r="H136" t="inlineStr">
        <is>
          <t>high</t>
        </is>
      </c>
      <c r="I136" t="b">
        <v>1</v>
      </c>
      <c r="J136" t="b">
        <v>1</v>
      </c>
      <c r="K136" t="inlineStr"/>
      <c r="L136" t="inlineStr">
        <is>
          <t>LIBRO
ORIGINAL
SEGURO
SOMOS
mercado
Lider
COMPR
libreriadela
Un mundo diferente</t>
        </is>
      </c>
      <c r="M136" t="inlineStr"/>
    </row>
    <row r="137">
      <c r="A137">
        <f>IMAGE("https://http2.mlstatic.com/D_NQ_NP_611093-MLM112261910128_062026-F.webp")</f>
        <v/>
      </c>
      <c r="B137" t="inlineStr">
        <is>
          <t>https://http2.mlstatic.com/D_NQ_NP_611093-MLM112261910128_062026-F.webp</t>
        </is>
      </c>
      <c r="C137" t="inlineStr">
        <is>
          <t>P-badge</t>
        </is>
      </c>
      <c r="D137" t="b">
        <v>1</v>
      </c>
      <c r="E137" t="b">
        <v>1</v>
      </c>
      <c r="F137" t="inlineStr">
        <is>
          <t>badge</t>
        </is>
      </c>
      <c r="G137" t="inlineStr">
        <is>
          <t>un sello con texto como 'Recomendado' o 'Hot Sale' dibujado sobre la imagen</t>
        </is>
      </c>
      <c r="H137" t="inlineStr">
        <is>
          <t>high</t>
        </is>
      </c>
      <c r="I137" t="b">
        <v>0</v>
      </c>
      <c r="J137" t="b">
        <v>0</v>
      </c>
      <c r="K137" t="inlineStr"/>
      <c r="L137" t="inlineStr">
        <is>
          <t>"Una lectura adictiva, equilibra el encanto jugoso de Las siete maridos de Evelyn
Huge con la empatia de Bailar lents. Un placer de leer de principio a fin".
-MELISSA ALBERT, antara kentseller del The New York Times
LAS
TRES
VIDAS DE
CATE KAY
47
KATE FAGAN Ⓡ
AUTORA BESTSELLER #1 DEL THE NEW YORK TIM</t>
        </is>
      </c>
      <c r="M137" t="inlineStr"/>
    </row>
    <row r="138">
      <c r="A138">
        <f>IMAGE("https://http2.mlstatic.com/D_NQ_NP_915324-MLB113359306519_062026-F.webp")</f>
        <v/>
      </c>
      <c r="B138" t="inlineStr">
        <is>
          <t>https://http2.mlstatic.com/D_NQ_NP_915324-MLB113359306519_062026-F.webp</t>
        </is>
      </c>
      <c r="C138" t="inlineStr">
        <is>
          <t>P-badge</t>
        </is>
      </c>
      <c r="D138" t="b">
        <v>1</v>
      </c>
      <c r="E138" t="b">
        <v>0</v>
      </c>
      <c r="F138" t="inlineStr">
        <is>
          <t>none</t>
        </is>
      </c>
      <c r="G138" t="inlineStr"/>
      <c r="H138" t="inlineStr">
        <is>
          <t>low</t>
        </is>
      </c>
      <c r="I138" t="b">
        <v>0</v>
      </c>
      <c r="J138" t="b">
        <v>0</v>
      </c>
      <c r="K138" t="inlineStr"/>
      <c r="L138" t="inlineStr">
        <is>
          <t>Pampers
sabonete líquido
relaxamento
Seguro desde
os primeros dios
Limpeza w
do cabeço o
94-9
Pampers
loção hidratante
Testado, aprovado e recomendado por
pedale demtologists
97
Pampers
shampoo
de glicering
todo, upravado e recomen
pedobs e dermatol
0000
Hipoalerginico
Seguro desde
os primeiros dias</t>
        </is>
      </c>
      <c r="M138" t="inlineStr"/>
    </row>
    <row r="139">
      <c r="A139">
        <f>IMAGE("https://http2.mlstatic.com/D_NQ_NP_656109-MLA113453065615_062026-F.webp")</f>
        <v/>
      </c>
      <c r="B139" t="inlineStr">
        <is>
          <t>https://http2.mlstatic.com/D_NQ_NP_656109-MLA113453065615_062026-F.webp</t>
        </is>
      </c>
      <c r="C139" t="inlineStr">
        <is>
          <t>P-badge</t>
        </is>
      </c>
      <c r="D139" t="b">
        <v>1</v>
      </c>
      <c r="E139" t="b">
        <v>0</v>
      </c>
      <c r="F139" t="inlineStr">
        <is>
          <t>none</t>
        </is>
      </c>
      <c r="G139" t="inlineStr"/>
      <c r="H139" t="inlineStr">
        <is>
          <t>low</t>
        </is>
      </c>
      <c r="I139" t="b">
        <v>0</v>
      </c>
      <c r="J139" t="b">
        <v>0</v>
      </c>
      <c r="K139" t="inlineStr"/>
      <c r="L139" t="inlineStr">
        <is>
          <t>That's when he saw her hanging from
the tree. A satchel on her back
And a tag around her neck that said...
I'm
travelling
alone
THE GLOBAL BESTSELLER
SAMUEL BJORK</t>
        </is>
      </c>
      <c r="M139" t="inlineStr"/>
    </row>
    <row r="140">
      <c r="A140">
        <f>IMAGE("https://http2.mlstatic.com/D_NQ_NP_794692-MLM113534829821_062026-F.webp")</f>
        <v/>
      </c>
      <c r="B140" t="inlineStr">
        <is>
          <t>https://http2.mlstatic.com/D_NQ_NP_794692-MLM113534829821_062026-F.webp</t>
        </is>
      </c>
      <c r="C140" t="inlineStr">
        <is>
          <t>P-badge</t>
        </is>
      </c>
      <c r="D140" t="b">
        <v>1</v>
      </c>
      <c r="E140" t="b">
        <v>0</v>
      </c>
      <c r="F140" t="inlineStr">
        <is>
          <t>none</t>
        </is>
      </c>
      <c r="G140" t="inlineStr"/>
      <c r="H140" t="inlineStr">
        <is>
          <t>low</t>
        </is>
      </c>
      <c r="I140" t="b">
        <v>0</v>
      </c>
      <c r="J140" t="b">
        <v>0</v>
      </c>
      <c r="K140" t="inlineStr"/>
      <c r="L140" t="inlineStr">
        <is>
          <t>HKPRO Roku TV
•
La pantalla de inicio, tu aliada indiscutible
Accede a una pantalla de inicio que te lleva fácilmente
al contenido que quieres ver de forma rápida.
Roku TV
Inicio
TV en vivo
¡No te lo pierdas!
Destacados gratis
Mi lista
Buscar
La mejor selección para ti
Severance
FIFA-
3:26 pm
Apps y</t>
        </is>
      </c>
      <c r="M140" t="inlineStr"/>
    </row>
    <row r="141">
      <c r="A141">
        <f>IMAGE("https://http2.mlstatic.com/D_NQ_NP_946242-MLA112369252912_062026-F.webp")</f>
        <v/>
      </c>
      <c r="B141" t="inlineStr">
        <is>
          <t>https://http2.mlstatic.com/D_NQ_NP_946242-MLA112369252912_062026-F.webp</t>
        </is>
      </c>
      <c r="C141" t="inlineStr">
        <is>
          <t>P-badge</t>
        </is>
      </c>
      <c r="D141" t="b">
        <v>1</v>
      </c>
      <c r="E141" t="b">
        <v>1</v>
      </c>
      <c r="F141" t="inlineStr">
        <is>
          <t>delivery</t>
        </is>
      </c>
      <c r="G141" t="inlineStr">
        <is>
          <t>envío gratis</t>
        </is>
      </c>
      <c r="H141" t="inlineStr">
        <is>
          <t>high</t>
        </is>
      </c>
      <c r="I141" t="b">
        <v>1</v>
      </c>
      <c r="J141" t="b">
        <v>1</v>
      </c>
      <c r="K141" t="inlineStr"/>
      <c r="L141" t="inlineStr">
        <is>
          <t>2
COMBO DUO
X2 LIBROS - BESTSELLERS
GEORGE S. CLASON
El hombre
MÁS RICO
de Babilonia
Cómo alcanzar el éxito y solucionar
sus problemas financieros
NAPOLEON HILL
PIENSEY
HÁGASE
RICO
51.ª edición
EDICIONES OBELISCO
EDICIONES OBELISCO
Un clásico
para alcanzar
la riqueza
ENVÍO GRATIS
NUEVOS Y SELLADOS |</t>
        </is>
      </c>
      <c r="M141" t="inlineStr"/>
    </row>
    <row r="142">
      <c r="A142">
        <f>IMAGE("https://http2.mlstatic.com/D_NQ_NP_995183-MLU53303181159_012023-F.webp")</f>
        <v/>
      </c>
      <c r="B142" t="inlineStr">
        <is>
          <t>https://http2.mlstatic.com/D_NQ_NP_995183-MLU53303181159_012023-F.webp</t>
        </is>
      </c>
      <c r="C142" t="inlineStr">
        <is>
          <t>P-badge</t>
        </is>
      </c>
      <c r="D142" t="b">
        <v>1</v>
      </c>
      <c r="E142" t="b">
        <v>1</v>
      </c>
      <c r="F142" t="inlineStr">
        <is>
          <t>badge</t>
        </is>
      </c>
      <c r="G142" t="inlineStr">
        <is>
          <t>textos sobrepuestos con el texto 'Autor de Padre Rico Padre Pobre bestseller #1 de The New York Times' y 'Aguilar'</t>
        </is>
      </c>
      <c r="H142" t="inlineStr">
        <is>
          <t>medium</t>
        </is>
      </c>
      <c r="I142" t="b">
        <v>0</v>
      </c>
      <c r="J142" t="b">
        <v>0</v>
      </c>
      <c r="K142" t="inlineStr"/>
      <c r="L142" t="inlineStr">
        <is>
          <t>RICH
DAD.
Autor de
Padre Rico
Padre Pobre
bestseller #1 de
The New York
Times
EL
NEGOCIO
DEL
SIGLO 21
Robert T. Kiyosaki
Con John Fleming y Kim Kiyosaki
AGUILAR</t>
        </is>
      </c>
      <c r="M142" t="inlineStr"/>
    </row>
    <row r="143">
      <c r="A143">
        <f>IMAGE("https://http2.mlstatic.com/D_NQ_NP_943960-MLM112184717242_062026-F.webp")</f>
        <v/>
      </c>
      <c r="B143" t="inlineStr">
        <is>
          <t>https://http2.mlstatic.com/D_NQ_NP_943960-MLM112184717242_062026-F.webp</t>
        </is>
      </c>
      <c r="C143" t="inlineStr">
        <is>
          <t>P-badge</t>
        </is>
      </c>
      <c r="D143" t="b">
        <v>1</v>
      </c>
      <c r="E143" t="b">
        <v>0</v>
      </c>
      <c r="F143" t="inlineStr">
        <is>
          <t>none</t>
        </is>
      </c>
      <c r="G143" t="inlineStr"/>
      <c r="H143" t="inlineStr">
        <is>
          <t>low</t>
        </is>
      </c>
      <c r="I143" t="b">
        <v>0</v>
      </c>
      <c r="J143" t="b">
        <v>0</v>
      </c>
      <c r="K143" t="inlineStr"/>
      <c r="L143" t="inlineStr">
        <is>
          <t>NEW YORK TIMES BESTSELLER
SHE IS A
HAUNTING
TRANG THANH TRAN
LOOMSBURY</t>
        </is>
      </c>
      <c r="M143" t="inlineStr"/>
    </row>
    <row r="144">
      <c r="A144">
        <f>IMAGE("https://http2.mlstatic.com/D_NQ_NP_878314-MCO113614252695_062026-F.webp")</f>
        <v/>
      </c>
      <c r="B144" t="inlineStr">
        <is>
          <t>https://http2.mlstatic.com/D_NQ_NP_878314-MCO113614252695_062026-F.webp</t>
        </is>
      </c>
      <c r="C144" t="inlineStr">
        <is>
          <t>P-badge</t>
        </is>
      </c>
      <c r="D144" t="b">
        <v>1</v>
      </c>
      <c r="E144" t="b">
        <v>1</v>
      </c>
      <c r="F144" t="inlineStr">
        <is>
          <t>badge</t>
        </is>
      </c>
      <c r="G144" t="inlineStr">
        <is>
          <t>Mercado Lider</t>
        </is>
      </c>
      <c r="H144" t="inlineStr">
        <is>
          <t>high</t>
        </is>
      </c>
      <c r="I144" t="b">
        <v>1</v>
      </c>
      <c r="J144" t="b">
        <v>1</v>
      </c>
      <c r="K144" t="inlineStr"/>
      <c r="L144" t="inlineStr">
        <is>
          <t>LIBRO
ORIGINAL
SEGURO
SOMOS
mercado
Lider
COMPR
libreriadela
Un mundo diferente</t>
        </is>
      </c>
      <c r="M144" t="inlineStr"/>
    </row>
    <row r="145">
      <c r="A145">
        <f>IMAGE("https://http2.mlstatic.com/D_NQ_NP_761645-MLA112605010651_062026-F.webp")</f>
        <v/>
      </c>
      <c r="B145" t="inlineStr">
        <is>
          <t>https://http2.mlstatic.com/D_NQ_NP_761645-MLA112605010651_062026-F.webp</t>
        </is>
      </c>
      <c r="C145" t="inlineStr">
        <is>
          <t>P-badge</t>
        </is>
      </c>
      <c r="D145" t="b">
        <v>1</v>
      </c>
      <c r="E145" t="b">
        <v>1</v>
      </c>
      <c r="F145" t="inlineStr">
        <is>
          <t>badge</t>
        </is>
      </c>
      <c r="G145" t="inlineStr">
        <is>
          <t>Recomendado</t>
        </is>
      </c>
      <c r="H145" t="inlineStr">
        <is>
          <t>medium</t>
        </is>
      </c>
      <c r="I145" t="b">
        <v>0</v>
      </c>
      <c r="J145" t="b">
        <v>0</v>
      </c>
      <c r="K145" t="inlineStr"/>
      <c r="L145" t="inlineStr">
        <is>
          <t>LIVRO
RECOMENDADO
LeR
PLANO NACIONAL
DE LEITURA
COLECÇÃO A SAÚDE DO DIOGO
O Diogo
vai no 112
JUBMA
BALTAZAR DE MATOS CAEIRO
RASB
PAPA-LETRAS</t>
        </is>
      </c>
      <c r="M145" t="inlineStr"/>
    </row>
    <row r="146">
      <c r="A146">
        <f>IMAGE("https://http2.mlstatic.com/D_NQ_NP_633437-MCO113616219001_062026-F.webp")</f>
        <v/>
      </c>
      <c r="B146" t="inlineStr">
        <is>
          <t>https://http2.mlstatic.com/D_NQ_NP_633437-MCO113616219001_062026-F.webp</t>
        </is>
      </c>
      <c r="C146" t="inlineStr">
        <is>
          <t>P-badge</t>
        </is>
      </c>
      <c r="D146" t="b">
        <v>1</v>
      </c>
      <c r="E146" t="b">
        <v>1</v>
      </c>
      <c r="F146" t="inlineStr">
        <is>
          <t>badge</t>
        </is>
      </c>
      <c r="G146" t="inlineStr">
        <is>
          <t>Mercado Lider</t>
        </is>
      </c>
      <c r="H146" t="inlineStr">
        <is>
          <t>high</t>
        </is>
      </c>
      <c r="I146" t="b">
        <v>1</v>
      </c>
      <c r="J146" t="b">
        <v>1</v>
      </c>
      <c r="K146" t="inlineStr"/>
      <c r="L146" t="inlineStr">
        <is>
          <t>LIBRO
ORIGINAL
SEGURO
SOMOS
mercado
Lider
COMPR
libreriadela
Un mundo diferente</t>
        </is>
      </c>
      <c r="M146" t="inlineStr"/>
    </row>
    <row r="147">
      <c r="A147">
        <f>IMAGE("https://http2.mlstatic.com/D_NQ_NP_926324-MLB113490415151_062026-F.webp")</f>
        <v/>
      </c>
      <c r="B147" t="inlineStr">
        <is>
          <t>https://http2.mlstatic.com/D_NQ_NP_926324-MLB113490415151_062026-F.webp</t>
        </is>
      </c>
      <c r="C147" t="inlineStr">
        <is>
          <t>P-badge</t>
        </is>
      </c>
      <c r="D147" t="b">
        <v>1</v>
      </c>
      <c r="E147" t="b">
        <v>0</v>
      </c>
      <c r="F147" t="inlineStr">
        <is>
          <t>none</t>
        </is>
      </c>
      <c r="G147" t="inlineStr"/>
      <c r="H147" t="inlineStr">
        <is>
          <t>low</t>
        </is>
      </c>
      <c r="I147" t="b">
        <v>0</v>
      </c>
      <c r="J147" t="b">
        <v>0</v>
      </c>
      <c r="K147" t="inlineStr"/>
      <c r="L147" t="inlineStr">
        <is>
          <t>Loco
A melhor avaliação na troca do seu carro
Localiza
seminovos
Localiza
seminovo</t>
        </is>
      </c>
      <c r="M147" t="inlineStr"/>
    </row>
    <row r="148">
      <c r="A148">
        <f>IMAGE("https://http2.mlstatic.com/D_NQ_NP_888630-MLA113407552835_062026-F.webp")</f>
        <v/>
      </c>
      <c r="B148" t="inlineStr">
        <is>
          <t>https://http2.mlstatic.com/D_NQ_NP_888630-MLA113407552835_062026-F.webp</t>
        </is>
      </c>
      <c r="C148" t="inlineStr">
        <is>
          <t>P-badge</t>
        </is>
      </c>
      <c r="D148" t="b">
        <v>1</v>
      </c>
      <c r="E148" t="b">
        <v>0</v>
      </c>
      <c r="F148" t="inlineStr">
        <is>
          <t>none</t>
        </is>
      </c>
      <c r="G148" t="inlineStr"/>
      <c r="H148" t="inlineStr">
        <is>
          <t>low</t>
        </is>
      </c>
      <c r="I148" t="b">
        <v>0</v>
      </c>
      <c r="J148" t="b">
        <v>0</v>
      </c>
      <c r="K148" t="inlineStr"/>
      <c r="L148" t="inlineStr">
        <is>
          <t>The #1 NEW YORK TIMES BESTSELLER
bestlife
BOB GREENE
THE BEST LIFE DIET
FOREWORD BY OPRAH WINFREY
REVISED AND UPDATED
Fearing NEW MENU PLANS and RECIPES</t>
        </is>
      </c>
      <c r="M148" t="inlineStr"/>
    </row>
    <row r="149">
      <c r="A149">
        <f>IMAGE("https://http2.mlstatic.com/D_NQ_NP_875979-MLB113296293397_062026-F.webp")</f>
        <v/>
      </c>
      <c r="B149" t="inlineStr">
        <is>
          <t>https://http2.mlstatic.com/D_NQ_NP_875979-MLB113296293397_062026-F.webp</t>
        </is>
      </c>
      <c r="C149" t="inlineStr">
        <is>
          <t>P-badge</t>
        </is>
      </c>
      <c r="D149" t="b">
        <v>1</v>
      </c>
      <c r="E149" t="b">
        <v>1</v>
      </c>
      <c r="F149" t="inlineStr">
        <is>
          <t>badge</t>
        </is>
      </c>
      <c r="G149" t="inlineStr">
        <is>
          <t>Mercado Líder Platinum</t>
        </is>
      </c>
      <c r="H149" t="inlineStr">
        <is>
          <t>medium</t>
        </is>
      </c>
      <c r="I149" t="b">
        <v>1</v>
      </c>
      <c r="J149" t="b">
        <v>1</v>
      </c>
      <c r="K149" t="inlineStr"/>
      <c r="L149" t="inlineStr">
        <is>
          <t>LIMITE DE 5 UNIDADES
POR COMPRA
月
Devido às restrições de peso impostas
pelo Marketplace.
PRONTO
MERCADO LÍDER
PLATINUM
ENTREGA
ENVIOS
24
· ENVIO PARA,
TODO BRASIL</t>
        </is>
      </c>
      <c r="M149" t="inlineStr"/>
    </row>
    <row r="150">
      <c r="A150">
        <f>IMAGE("https://http2.mlstatic.com/D_NQ_NP_958472-MLA112207848910_062026-F.webp")</f>
        <v/>
      </c>
      <c r="B150" t="inlineStr">
        <is>
          <t>https://http2.mlstatic.com/D_NQ_NP_958472-MLA112207848910_062026-F.webp</t>
        </is>
      </c>
      <c r="C150" t="inlineStr">
        <is>
          <t>P-badge</t>
        </is>
      </c>
      <c r="D150" t="b">
        <v>1</v>
      </c>
      <c r="E150" t="b">
        <v>0</v>
      </c>
      <c r="F150" t="inlineStr">
        <is>
          <t>none</t>
        </is>
      </c>
      <c r="G150" t="inlineStr"/>
      <c r="H150" t="inlineStr">
        <is>
          <t>low</t>
        </is>
      </c>
      <c r="I150" t="b">
        <v>0</v>
      </c>
      <c r="J150" t="b">
        <v>0</v>
      </c>
      <c r="K150" t="inlineStr"/>
      <c r="L150" t="inlineStr">
        <is>
          <t>The New York Times Bestseller
One
Fifth
Avenue
CANDACE
BUSHNELL
New York Times bestselling author of Lipstick Jungle and Sex and the City</t>
        </is>
      </c>
      <c r="M150" t="inlineStr"/>
    </row>
    <row r="151">
      <c r="A151">
        <f>IMAGE("https://http2.mlstatic.com/D_NQ_NP_727696-MLM112184065326_062026-F.webp")</f>
        <v/>
      </c>
      <c r="B151" t="inlineStr">
        <is>
          <t>https://http2.mlstatic.com/D_NQ_NP_727696-MLM112184065326_062026-F.webp</t>
        </is>
      </c>
      <c r="C151" t="inlineStr">
        <is>
          <t>P-badge</t>
        </is>
      </c>
      <c r="D151" t="b">
        <v>1</v>
      </c>
      <c r="E151" t="b">
        <v>0</v>
      </c>
      <c r="F151" t="inlineStr">
        <is>
          <t>none</t>
        </is>
      </c>
      <c r="G151" t="inlineStr"/>
      <c r="H151" t="inlineStr">
        <is>
          <t>low</t>
        </is>
      </c>
      <c r="I151" t="b">
        <v>0</v>
      </c>
      <c r="J151" t="b">
        <v>0</v>
      </c>
      <c r="K151" t="inlineStr"/>
      <c r="L151" t="inlineStr">
        <is>
          <t>NEW YORK TIMES BESTSELLER
AUTHOR OF THE PRINCES OF IRELAND
EDWARD
RUTHERFURD
LONDON
"Absorbing reading The Washington Frat Boy World</t>
        </is>
      </c>
      <c r="M151" t="inlineStr"/>
    </row>
    <row r="152">
      <c r="A152">
        <f>IMAGE("https://http2.mlstatic.com/D_NQ_NP_791912-MLU77444626804_072024-F.webp")</f>
        <v/>
      </c>
      <c r="B152" t="inlineStr">
        <is>
          <t>https://http2.mlstatic.com/D_NQ_NP_791912-MLU77444626804_072024-F.webp</t>
        </is>
      </c>
      <c r="C152" t="inlineStr">
        <is>
          <t>P-badge</t>
        </is>
      </c>
      <c r="D152" t="b">
        <v>1</v>
      </c>
      <c r="E152" t="b">
        <v>0</v>
      </c>
      <c r="F152" t="inlineStr">
        <is>
          <t>none</t>
        </is>
      </c>
      <c r="G152" t="inlineStr"/>
      <c r="H152" t="inlineStr">
        <is>
          <t>low</t>
        </is>
      </c>
      <c r="I152" t="b">
        <v>0</v>
      </c>
      <c r="J152" t="b">
        <v>0</v>
      </c>
      <c r="K152" t="inlineStr"/>
      <c r="L152" t="inlineStr">
        <is>
          <t>#1 New York Times Bestseller
GABRIELLE BERNSTEIN
THE UNIVERSE
HAS YOUR BACK
Transform Fear to Faith</t>
        </is>
      </c>
      <c r="M152" t="inlineStr"/>
    </row>
    <row r="153">
      <c r="A153">
        <f>IMAGE("https://http2.mlstatic.com/D_NQ_NP_654471-CBT112403655822_062026-F.webp")</f>
        <v/>
      </c>
      <c r="B153" t="inlineStr">
        <is>
          <t>https://http2.mlstatic.com/D_NQ_NP_654471-CBT112403655822_062026-F.webp</t>
        </is>
      </c>
      <c r="C153" t="inlineStr">
        <is>
          <t>P-badge</t>
        </is>
      </c>
      <c r="D153" t="b">
        <v>1</v>
      </c>
      <c r="E153" t="b">
        <v>1</v>
      </c>
      <c r="F153" t="inlineStr">
        <is>
          <t>badge</t>
        </is>
      </c>
      <c r="G153" t="inlineStr">
        <is>
          <t>Amazon #1 BESTSELLER</t>
        </is>
      </c>
      <c r="H153" t="inlineStr">
        <is>
          <t>high</t>
        </is>
      </c>
      <c r="I153" t="b">
        <v>0</v>
      </c>
      <c r="J153" t="b">
        <v>0</v>
      </c>
      <c r="K153" t="inlineStr"/>
      <c r="L153" t="inlineStr">
        <is>
          <t>AMAZON #1 BESTSELLER
THE
ENTREPRENEUR
MAZON
ESTS
MINDSET
WHEN YOU BELIEVE IN YOURSELF,
EVERYBODY WILL BELIEVE IN YOU
DR. SHAMS QUADRI
with a Foreword by Mike Leigh</t>
        </is>
      </c>
      <c r="M153" t="inlineStr"/>
    </row>
    <row r="154">
      <c r="A154">
        <f>IMAGE("https://http2.mlstatic.com/D_NQ_NP_939208-CBT113530996237_062026-F.webp")</f>
        <v/>
      </c>
      <c r="B154" t="inlineStr">
        <is>
          <t>https://http2.mlstatic.com/D_NQ_NP_939208-CBT113530996237_062026-F.webp</t>
        </is>
      </c>
      <c r="C154" t="inlineStr">
        <is>
          <t>P-badge</t>
        </is>
      </c>
      <c r="D154" t="b">
        <v>1</v>
      </c>
      <c r="E154" t="b">
        <v>1</v>
      </c>
      <c r="F154" t="inlineStr">
        <is>
          <t>badge</t>
        </is>
      </c>
      <c r="G154" t="inlineStr">
        <is>
          <t>un sello que imita una etiqueta oficial de MercadoLibre</t>
        </is>
      </c>
      <c r="H154" t="inlineStr">
        <is>
          <t>medium</t>
        </is>
      </c>
      <c r="I154" t="b">
        <v>0</v>
      </c>
      <c r="J154" t="b">
        <v>0</v>
      </c>
      <c r="K154" t="inlineStr"/>
      <c r="L154" t="inlineStr">
        <is>
          <t>De la autora del bestseller
Cómo curar un corazón roto
GABY PEREZ ISLAS
Convenceme
de vivir
Una novela para
reencontrarte
con la vida
DIANA</t>
        </is>
      </c>
      <c r="M154" t="inlineStr"/>
    </row>
    <row r="155">
      <c r="A155">
        <f>IMAGE("https://http2.mlstatic.com/D_NQ_NP_621189-MCO112457123704_062026-F.webp")</f>
        <v/>
      </c>
      <c r="B155" t="inlineStr">
        <is>
          <t>https://http2.mlstatic.com/D_NQ_NP_621189-MCO112457123704_062026-F.webp</t>
        </is>
      </c>
      <c r="C155" t="inlineStr">
        <is>
          <t>P-badge</t>
        </is>
      </c>
      <c r="D155" t="b">
        <v>1</v>
      </c>
      <c r="E155" t="b">
        <v>1</v>
      </c>
      <c r="F155" t="inlineStr">
        <is>
          <t>badge</t>
        </is>
      </c>
      <c r="G155" t="inlineStr">
        <is>
          <t>Mercado Lider</t>
        </is>
      </c>
      <c r="H155" t="inlineStr">
        <is>
          <t>high</t>
        </is>
      </c>
      <c r="I155" t="b">
        <v>1</v>
      </c>
      <c r="J155" t="b">
        <v>1</v>
      </c>
      <c r="K155" t="inlineStr"/>
      <c r="L155" t="inlineStr">
        <is>
          <t>LIBRO
ORIGINAL
SEGURO
SOMOS
mercado
Lider
COMPR
libreriadela
Un mundo diferente</t>
        </is>
      </c>
      <c r="M155" t="inlineStr"/>
    </row>
    <row r="156">
      <c r="A156">
        <f>IMAGE("https://http2.mlstatic.com/D_NQ_NP_694456-MLM112262254322_062026-F.webp")</f>
        <v/>
      </c>
      <c r="B156" t="inlineStr">
        <is>
          <t>https://http2.mlstatic.com/D_NQ_NP_694456-MLM112262254322_062026-F.webp</t>
        </is>
      </c>
      <c r="C156" t="inlineStr">
        <is>
          <t>P-badge</t>
        </is>
      </c>
      <c r="D156" t="b">
        <v>1</v>
      </c>
      <c r="E156" t="b">
        <v>1</v>
      </c>
      <c r="F156" t="inlineStr">
        <is>
          <t>badge</t>
        </is>
      </c>
      <c r="G156" t="inlineStr">
        <is>
          <t>un sello que imita una etiqueta oficial de MercadoLibre</t>
        </is>
      </c>
      <c r="H156" t="inlineStr">
        <is>
          <t>medium</t>
        </is>
      </c>
      <c r="I156" t="b">
        <v>0</v>
      </c>
      <c r="J156" t="b">
        <v>0</v>
      </c>
      <c r="K156" t="inlineStr"/>
      <c r="L156" t="inlineStr">
        <is>
          <t>AUTORA BESTSELLER
GABY VARGAS
exhala
Todo va a estar bien
... si tú lo decides
AGUILAR</t>
        </is>
      </c>
      <c r="M156" t="inlineStr"/>
    </row>
    <row r="157">
      <c r="A157">
        <f>IMAGE("https://http2.mlstatic.com/D_NQ_NP_721812-MCO112450669958_062026-F.webp")</f>
        <v/>
      </c>
      <c r="B157" t="inlineStr">
        <is>
          <t>https://http2.mlstatic.com/D_NQ_NP_721812-MCO112450669958_062026-F.webp</t>
        </is>
      </c>
      <c r="C157" t="inlineStr">
        <is>
          <t>P-badge</t>
        </is>
      </c>
      <c r="D157" t="b">
        <v>1</v>
      </c>
      <c r="E157" t="b">
        <v>1</v>
      </c>
      <c r="F157" t="inlineStr">
        <is>
          <t>badge</t>
        </is>
      </c>
      <c r="G157" t="inlineStr">
        <is>
          <t>Mercado Lider</t>
        </is>
      </c>
      <c r="H157" t="inlineStr">
        <is>
          <t>high</t>
        </is>
      </c>
      <c r="I157" t="b">
        <v>1</v>
      </c>
      <c r="J157" t="b">
        <v>1</v>
      </c>
      <c r="K157" t="inlineStr"/>
      <c r="L157" t="inlineStr">
        <is>
          <t>LIBRO
ORIGINAL
SEGURO
SOMOS
mercado
Lider
COMPR
libreriadela
Un mundo diferente</t>
        </is>
      </c>
      <c r="M157" t="inlineStr"/>
    </row>
    <row r="158">
      <c r="A158">
        <f>IMAGE("https://http2.mlstatic.com/D_NQ_NP_640474-MCO73007307595_112023-F.webp")</f>
        <v/>
      </c>
      <c r="B158" t="inlineStr">
        <is>
          <t>https://http2.mlstatic.com/D_NQ_NP_640474-MCO73007307595_112023-F.webp</t>
        </is>
      </c>
      <c r="C158" t="inlineStr">
        <is>
          <t>P-badge</t>
        </is>
      </c>
      <c r="D158" t="b">
        <v>1</v>
      </c>
      <c r="E158" t="b">
        <v>1</v>
      </c>
      <c r="F158" t="inlineStr">
        <is>
          <t>badge</t>
        </is>
      </c>
      <c r="G158" t="inlineStr">
        <is>
          <t>Mercado Lider</t>
        </is>
      </c>
      <c r="H158" t="inlineStr">
        <is>
          <t>high</t>
        </is>
      </c>
      <c r="I158" t="b">
        <v>1</v>
      </c>
      <c r="J158" t="b">
        <v>1</v>
      </c>
      <c r="K158" t="inlineStr"/>
      <c r="L158" t="inlineStr">
        <is>
          <t>LIBRO
ORIGINAL
SEGURO
SOMOS
mercado
Lider
COMPR
libreriadela
Un mundo diferente</t>
        </is>
      </c>
      <c r="M158" t="inlineStr"/>
    </row>
    <row r="159">
      <c r="A159">
        <f>IMAGE("https://http2.mlstatic.com/D_NQ_NP_924873-MLA91487833137_092025-F.webp")</f>
        <v/>
      </c>
      <c r="B159" t="inlineStr">
        <is>
          <t>https://http2.mlstatic.com/D_NQ_NP_924873-MLA91487833137_092025-F.webp</t>
        </is>
      </c>
      <c r="C159" t="inlineStr">
        <is>
          <t>P-badge</t>
        </is>
      </c>
      <c r="D159" t="b">
        <v>1</v>
      </c>
      <c r="E159" t="b">
        <v>1</v>
      </c>
      <c r="F159" t="inlineStr">
        <is>
          <t>badge</t>
        </is>
      </c>
      <c r="G159" t="inlineStr">
        <is>
          <t>un sello que imita una etiqueta oficial de MercadoLibre</t>
        </is>
      </c>
      <c r="H159" t="inlineStr">
        <is>
          <t>high</t>
        </is>
      </c>
      <c r="I159" t="b">
        <v>0</v>
      </c>
      <c r="J159" t="b">
        <v>0</v>
      </c>
      <c r="K159" t="inlineStr"/>
      <c r="L159" t="inlineStr">
        <is>
          <t>PR
soñado
Colores mágicos
¡Únete a los animales en
el arcoíris soñado y diviértete
coloreando!
ROTULADORES MÁGIC
soñado
Libro para colorear
Mucha
diversión en
colores!
ROTULADORES MAGICos
INCLUYE:
⚫5 rotuladores
• +1000 stickers de gema
• 1 libro para colorear
ROTULADORES MAGICos
ROTULADORES MAGIcos</t>
        </is>
      </c>
      <c r="M159" t="inlineStr"/>
    </row>
    <row r="160">
      <c r="A160">
        <f>IMAGE("https://http2.mlstatic.com/D_NQ_NP_687186-MLA113464015125_062026-F.webp")</f>
        <v/>
      </c>
      <c r="B160" t="inlineStr">
        <is>
          <t>https://http2.mlstatic.com/D_NQ_NP_687186-MLA113464015125_062026-F.webp</t>
        </is>
      </c>
      <c r="C160" t="inlineStr">
        <is>
          <t>P-badge</t>
        </is>
      </c>
      <c r="D160" t="b">
        <v>1</v>
      </c>
      <c r="E160" t="b">
        <v>0</v>
      </c>
      <c r="F160" t="inlineStr">
        <is>
          <t>none</t>
        </is>
      </c>
      <c r="G160" t="inlineStr"/>
      <c r="H160" t="inlineStr">
        <is>
          <t>low</t>
        </is>
      </c>
      <c r="I160" t="b">
        <v>0</v>
      </c>
      <c r="J160" t="b">
        <v>0</v>
      </c>
      <c r="K160" t="inlineStr"/>
      <c r="L160" t="inlineStr">
        <is>
          <t>NATIONAL
BESTSELLER
Author of Tree of Smoke and Jesus' Son
DENIS
JOHNSON
TRAIN
REAM S
PICADOR
A NOVELLA</t>
        </is>
      </c>
      <c r="M160" t="inlineStr"/>
    </row>
    <row r="161">
      <c r="A161">
        <f>IMAGE("https://http2.mlstatic.com/D_NQ_NP_913775-CBT81361003590_122024-F.webp")</f>
        <v/>
      </c>
      <c r="B161" t="inlineStr">
        <is>
          <t>https://http2.mlstatic.com/D_NQ_NP_913775-CBT81361003590_122024-F.webp</t>
        </is>
      </c>
      <c r="C161" t="inlineStr">
        <is>
          <t>P-badge</t>
        </is>
      </c>
      <c r="D161" t="b">
        <v>1</v>
      </c>
      <c r="E161" t="b">
        <v>1</v>
      </c>
      <c r="F161" t="inlineStr">
        <is>
          <t>badge</t>
        </is>
      </c>
      <c r="G161" t="inlineStr">
        <is>
          <t>un sello que imita una etiqueta oficial de MercadoLibre</t>
        </is>
      </c>
      <c r="H161" t="inlineStr">
        <is>
          <t>medium</t>
        </is>
      </c>
      <c r="I161" t="b">
        <v>1</v>
      </c>
      <c r="J161" t="b">
        <v>1</v>
      </c>
      <c r="K161" t="inlineStr"/>
      <c r="L161" t="inlineStr">
        <is>
          <t>ANIMATION
Funko
POP! JUUED Kajsin 1647
ANIMATION
amazon
EXCLUSIVE
NOBARA KUGISAKI
VINYL FIGURE / FIGURINE EN VINYLE
FIGURA DE VINIL
A WARNING: CHOKING HAZARDA ATTENTION: DANGER D'ÉTOUFFEMENTA ADVERTENCIA: PELIGRO DE ASFIXIA
Small parts. Not suitable for children under 36 months Petites pièces. Ne co</t>
        </is>
      </c>
      <c r="M161" t="inlineStr"/>
    </row>
    <row r="162">
      <c r="A162">
        <f>IMAGE("https://http2.mlstatic.com/D_NQ_NP_926448-MLA112436717980_062026-F.webp")</f>
        <v/>
      </c>
      <c r="B162" t="inlineStr">
        <is>
          <t>https://http2.mlstatic.com/D_NQ_NP_926448-MLA112436717980_062026-F.webp</t>
        </is>
      </c>
      <c r="C162" t="inlineStr">
        <is>
          <t>P-badge</t>
        </is>
      </c>
      <c r="D162" t="b">
        <v>1</v>
      </c>
      <c r="E162" t="b">
        <v>0</v>
      </c>
      <c r="F162" t="inlineStr">
        <is>
          <t>none</t>
        </is>
      </c>
      <c r="G162" t="inlineStr"/>
      <c r="H162" t="inlineStr">
        <is>
          <t>low</t>
        </is>
      </c>
      <c r="I162" t="b">
        <v>0</v>
      </c>
      <c r="J162" t="b">
        <v>0</v>
      </c>
      <c r="K162" t="inlineStr"/>
      <c r="L162" t="inlineStr">
        <is>
          <t>NEW YORK TIMES BESTSELLER
"Propulsive...
a dizzying
Gothic whodunit."
-The New York
Times Book Review
ETHE
A Novel
ONLY
ONE
LEFT
Author of THE HOUSE ACROSS THE LAKE</t>
        </is>
      </c>
      <c r="M162" t="inlineStr"/>
    </row>
    <row r="163">
      <c r="A163">
        <f>IMAGE("https://http2.mlstatic.com/D_NQ_NP_930940-MLA113599209115_062026-F.webp")</f>
        <v/>
      </c>
      <c r="B163" t="inlineStr">
        <is>
          <t>https://http2.mlstatic.com/D_NQ_NP_930940-MLA113599209115_062026-F.webp</t>
        </is>
      </c>
      <c r="C163" t="inlineStr">
        <is>
          <t>P-badge</t>
        </is>
      </c>
      <c r="D163" t="b">
        <v>1</v>
      </c>
      <c r="E163" t="b">
        <v>1</v>
      </c>
      <c r="F163" t="inlineStr">
        <is>
          <t>badge</t>
        </is>
      </c>
      <c r="G163" t="inlineStr">
        <is>
          <t>text overlay with the words 'Bestseller' and 'International Bestseller'</t>
        </is>
      </c>
      <c r="H163" t="inlineStr">
        <is>
          <t>high</t>
        </is>
      </c>
      <c r="I163" t="b">
        <v>0</v>
      </c>
      <c r="J163" t="b">
        <v>0</v>
      </c>
      <c r="K163" t="inlineStr"/>
      <c r="L163" t="inlineStr">
        <is>
          <t>BECOME AN EFFICIENT ASSISTANT
UTILIZING DEVICES &amp; ONLINE TOOLS
SET
YOURSELF
#1
BESTSELLER
APART
#1
INTERNATIONAL
BESTSELLER
MELISSA AMBERS</t>
        </is>
      </c>
      <c r="M163" t="inlineStr"/>
    </row>
    <row r="164">
      <c r="A164">
        <f>IMAGE("https://http2.mlstatic.com/D_NQ_NP_621118-MLM112222956132_062026-F.webp")</f>
        <v/>
      </c>
      <c r="B164" t="inlineStr">
        <is>
          <t>https://http2.mlstatic.com/D_NQ_NP_621118-MLM112222956132_062026-F.webp</t>
        </is>
      </c>
      <c r="C164" t="inlineStr">
        <is>
          <t>P-badge</t>
        </is>
      </c>
      <c r="D164" t="b">
        <v>1</v>
      </c>
      <c r="E164" t="b">
        <v>0</v>
      </c>
      <c r="F164" t="inlineStr">
        <is>
          <t>none</t>
        </is>
      </c>
      <c r="G164" t="inlineStr"/>
      <c r="H164" t="inlineStr">
        <is>
          <t>low</t>
        </is>
      </c>
      <c r="I164" t="b">
        <v>0</v>
      </c>
      <c r="J164" t="b">
        <v>0</v>
      </c>
      <c r="K164" t="inlineStr"/>
      <c r="L164" t="inlineStr">
        <is>
          <t>Ford FORD PARTS
DRIVE
MODE
FSB0023
Contents conform to Federal Motor Vehicle Safety Standards,
if any are applicable.
Recommended by Ford Motor Company.
El contenido satisface las normas federales de seguridad para los
vehiculos motorizados de los EE. UU. si algunas de las normas aplican.
Recomendad</t>
        </is>
      </c>
      <c r="M164" t="inlineStr"/>
    </row>
    <row r="165">
      <c r="A165">
        <f>IMAGE("https://http2.mlstatic.com/D_NQ_NP_807330-MLC112257214180_062026-F.webp")</f>
        <v/>
      </c>
      <c r="B165" t="inlineStr">
        <is>
          <t>https://http2.mlstatic.com/D_NQ_NP_807330-MLC112257214180_062026-F.webp</t>
        </is>
      </c>
      <c r="C165" t="inlineStr">
        <is>
          <t>P-badge</t>
        </is>
      </c>
      <c r="D165" t="b">
        <v>1</v>
      </c>
      <c r="E165" t="b">
        <v>0</v>
      </c>
      <c r="F165" t="inlineStr">
        <is>
          <t>none</t>
        </is>
      </c>
      <c r="G165" t="inlineStr"/>
      <c r="H165" t="inlineStr">
        <is>
          <t>low</t>
        </is>
      </c>
      <c r="I165" t="b">
        <v>0</v>
      </c>
      <c r="J165" t="b">
        <v>0</v>
      </c>
      <c r="K165" t="inlineStr"/>
      <c r="L165" t="inlineStr">
        <is>
          <t>jogar y jardin
Deco
Productos decorativos
No ingerir
No recomendado para niños menores de 6
dechogarden@gmail.com</t>
        </is>
      </c>
      <c r="M165" t="inlineStr"/>
    </row>
    <row r="166">
      <c r="A166">
        <f>IMAGE("https://http2.mlstatic.com/D_NQ_NP_692436-MLB113617548269_062026-F.webp")</f>
        <v/>
      </c>
      <c r="B166" t="inlineStr">
        <is>
          <t>https://http2.mlstatic.com/D_NQ_NP_692436-MLB113617548269_062026-F.webp</t>
        </is>
      </c>
      <c r="C166" t="inlineStr">
        <is>
          <t>P-badge</t>
        </is>
      </c>
      <c r="D166" t="b">
        <v>1</v>
      </c>
      <c r="E166" t="b">
        <v>0</v>
      </c>
      <c r="F166" t="inlineStr">
        <is>
          <t>none</t>
        </is>
      </c>
      <c r="G166" t="inlineStr"/>
      <c r="H166" t="inlineStr">
        <is>
          <t>low</t>
        </is>
      </c>
      <c r="I166" t="b">
        <v>0</v>
      </c>
      <c r="J166" t="b">
        <v>0</v>
      </c>
      <c r="K166" t="inlineStr"/>
      <c r="L166" t="inlineStr">
        <is>
          <t>Modo de conservação
Conservar em local seco e fresco, as atrigo da
te soles direta e fora do alcance de crianças
annait doméstoss
indubras
Indústria Veterinária SA
Indicaçãs. Avenil Calcio Plus é um suplemento
miresale vitaminico recomendado para as
faces de crescimento, muda de plomas,
postura e cr</t>
        </is>
      </c>
      <c r="M166" t="inlineStr"/>
    </row>
    <row r="167">
      <c r="A167">
        <f>IMAGE("https://http2.mlstatic.com/D_NQ_NP_803334-MLC113410096665_062026-F.webp")</f>
        <v/>
      </c>
      <c r="B167" t="inlineStr">
        <is>
          <t>https://http2.mlstatic.com/D_NQ_NP_803334-MLC113410096665_062026-F.webp</t>
        </is>
      </c>
      <c r="C167" t="inlineStr">
        <is>
          <t>P-badge</t>
        </is>
      </c>
      <c r="D167" t="b">
        <v>1</v>
      </c>
      <c r="E167" t="inlineStr"/>
      <c r="F167" t="inlineStr"/>
      <c r="G167" t="inlineStr">
        <is>
          <t>PARSE_ERROR: !!!!!!!!!!!!!!!!!!!!!!!!!!!!!!!!!!!!!!!!!!!!!!!!!!!!!!!!!!!!!!!!!!!!!!!!!!!!!!!!!!!!!!!!!!!!!!!!!!!!!!!!!!!!!!!!!!!!!!!!!!!!!!!!!!!!!!!!!!!!!!!!!!!!!!!!!!!!!!!!!!!!!!!!!!!!!!!!!!!!!!!!!!!!!!!!!!!!!!!!</t>
        </is>
      </c>
      <c r="H167" t="inlineStr"/>
      <c r="I167" t="b">
        <v>1</v>
      </c>
      <c r="J167" t="b">
        <v>1</v>
      </c>
      <c r="K167" t="inlineStr"/>
      <c r="L167" t="inlineStr">
        <is>
          <t>适用于 小米 15系列
雅丹黑
裸机手感
镜头全包
Aitotem
升级
HOT SALE</t>
        </is>
      </c>
      <c r="M167" t="inlineStr"/>
    </row>
    <row r="168">
      <c r="A168">
        <f>IMAGE("https://http2.mlstatic.com/D_NQ_NP_776291-CBT100772548305_122025-F.webp")</f>
        <v/>
      </c>
      <c r="B168" t="inlineStr">
        <is>
          <t>https://http2.mlstatic.com/D_NQ_NP_776291-CBT100772548305_122025-F.webp</t>
        </is>
      </c>
      <c r="C168" t="inlineStr">
        <is>
          <t>P-badge</t>
        </is>
      </c>
      <c r="D168" t="b">
        <v>1</v>
      </c>
      <c r="E168" t="b">
        <v>1</v>
      </c>
      <c r="F168" t="inlineStr">
        <is>
          <t>badge</t>
        </is>
      </c>
      <c r="G168" t="inlineStr">
        <is>
          <t>text overlaying the image</t>
        </is>
      </c>
      <c r="H168" t="inlineStr">
        <is>
          <t>medium</t>
        </is>
      </c>
      <c r="I168" t="b">
        <v>0</v>
      </c>
      <c r="J168" t="b">
        <v>0</v>
      </c>
      <c r="K168" t="inlineStr"/>
      <c r="L168" t="inlineStr">
        <is>
          <t>THE #1 NEW YORK TIMES BESTSELLER
THE
DIFFERENT SEASONS
華
冊
STEPHEN
KING
H</t>
        </is>
      </c>
      <c r="M168" t="inlineStr"/>
    </row>
    <row r="169">
      <c r="A169">
        <f>IMAGE("https://http2.mlstatic.com/D_NQ_NP_779683-MLB113635974721_062026-F.webp")</f>
        <v/>
      </c>
      <c r="B169" t="inlineStr">
        <is>
          <t>https://http2.mlstatic.com/D_NQ_NP_779683-MLB113635974721_062026-F.webp</t>
        </is>
      </c>
      <c r="C169" t="inlineStr">
        <is>
          <t>P-badge</t>
        </is>
      </c>
      <c r="D169" t="b">
        <v>1</v>
      </c>
      <c r="E169" t="b">
        <v>0</v>
      </c>
      <c r="F169" t="inlineStr">
        <is>
          <t>none</t>
        </is>
      </c>
      <c r="G169" t="inlineStr"/>
      <c r="H169" t="inlineStr">
        <is>
          <t>low</t>
        </is>
      </c>
      <c r="I169" t="b">
        <v>0</v>
      </c>
      <c r="J169" t="b">
        <v>0</v>
      </c>
      <c r="K169" t="inlineStr"/>
      <c r="L169" t="inlineStr">
        <is>
          <t>Ford FORD PARTS
F6ZZ-7600-A 1X
BEARING / COJINETE
7243599
ROULEMENT / ROLAMENTO
MAJORITY CONTENT MADI IN USA
MAYORIA DEL CONTENIDO FABRICADO EN EE. UU.
MAJORITE DUONTENU FABRIQUEE AUX E.-U.
0.10LBS
96 195 21MAR2023
Contents conform to Federal Motor Vehicle Safety Standards, if any are applicable.
Re</t>
        </is>
      </c>
      <c r="M169" t="inlineStr"/>
    </row>
    <row r="170">
      <c r="A170">
        <f>IMAGE("https://http2.mlstatic.com/D_NQ_NP_929272-MLB112186555804_062026-F.webp")</f>
        <v/>
      </c>
      <c r="B170" t="inlineStr">
        <is>
          <t>https://http2.mlstatic.com/D_NQ_NP_929272-MLB112186555804_062026-F.webp</t>
        </is>
      </c>
      <c r="C170" t="inlineStr">
        <is>
          <t>P-badge</t>
        </is>
      </c>
      <c r="D170" t="b">
        <v>1</v>
      </c>
      <c r="E170" t="b">
        <v>1</v>
      </c>
      <c r="F170" t="inlineStr">
        <is>
          <t>badge</t>
        </is>
      </c>
      <c r="G170" t="inlineStr">
        <is>
          <t>un sello con texto como 'Recomendado' o 'Hot Sale' dibujado sobre la imagen</t>
        </is>
      </c>
      <c r="H170" t="inlineStr">
        <is>
          <t>medium</t>
        </is>
      </c>
      <c r="I170" t="b">
        <v>0</v>
      </c>
      <c r="J170" t="b">
        <v>0</v>
      </c>
      <c r="K170" t="inlineStr"/>
      <c r="L170" t="inlineStr">
        <is>
          <t>AUTORA BESTSELLER DO USA TODAY
LEXI C. FOSS
TERRITÓRIO
BARILOCHE
A SÉRIE X-CLAN</t>
        </is>
      </c>
      <c r="M170" t="inlineStr"/>
    </row>
    <row r="171">
      <c r="A171">
        <f>IMAGE("https://http2.mlstatic.com/D_NQ_NP_776513-MCO113622315285_062026-F.webp")</f>
        <v/>
      </c>
      <c r="B171" t="inlineStr">
        <is>
          <t>https://http2.mlstatic.com/D_NQ_NP_776513-MCO113622315285_062026-F.webp</t>
        </is>
      </c>
      <c r="C171" t="inlineStr">
        <is>
          <t>P-badge</t>
        </is>
      </c>
      <c r="D171" t="b">
        <v>1</v>
      </c>
      <c r="E171" t="b">
        <v>1</v>
      </c>
      <c r="F171" t="inlineStr">
        <is>
          <t>badge</t>
        </is>
      </c>
      <c r="G171" t="inlineStr">
        <is>
          <t>Mercado Lider</t>
        </is>
      </c>
      <c r="H171" t="inlineStr">
        <is>
          <t>high</t>
        </is>
      </c>
      <c r="I171" t="b">
        <v>1</v>
      </c>
      <c r="J171" t="b">
        <v>1</v>
      </c>
      <c r="K171" t="inlineStr"/>
      <c r="L171" t="inlineStr">
        <is>
          <t>LIBRO
ORIGINAL
SEGURO
SOMOS
mercado
Lider
COMPR
libreriadela
Un mundo diferente</t>
        </is>
      </c>
      <c r="M171" t="inlineStr"/>
    </row>
    <row r="172">
      <c r="A172">
        <f>IMAGE("https://http2.mlstatic.com/D_NQ_NP_657054-MLB113516573141_062026-F.webp")</f>
        <v/>
      </c>
      <c r="B172" t="inlineStr">
        <is>
          <t>https://http2.mlstatic.com/D_NQ_NP_657054-MLB113516573141_062026-F.webp</t>
        </is>
      </c>
      <c r="C172" t="inlineStr">
        <is>
          <t>P-badge</t>
        </is>
      </c>
      <c r="D172" t="b">
        <v>1</v>
      </c>
      <c r="E172" t="b">
        <v>1</v>
      </c>
      <c r="F172" t="inlineStr">
        <is>
          <t>badge</t>
        </is>
      </c>
      <c r="G172" t="inlineStr">
        <is>
          <t>logos de marca o del fabricante</t>
        </is>
      </c>
      <c r="H172" t="inlineStr">
        <is>
          <t>low</t>
        </is>
      </c>
      <c r="I172" t="b">
        <v>0</v>
      </c>
      <c r="J172" t="b">
        <v>0</v>
      </c>
      <c r="K172" t="inlineStr"/>
      <c r="L172" t="inlineStr">
        <is>
          <t>ANDRÉ PARREIRA
ENCONTROS DE PREPARAÇÃO PARA A
VIDA MATRIMONIAL
NA DINÂMICA PAROQUIAL
Um guia para entender, estruturar,
implantar e aprofundar os encontros
Pontificio Instituto Teológico
João Paulo II
Matrimônio e Familia
Plus Edições
RECOMENDADO PELO
VATICANO</t>
        </is>
      </c>
      <c r="M172" t="inlineStr"/>
    </row>
    <row r="173">
      <c r="A173">
        <f>IMAGE("https://http2.mlstatic.com/D_NQ_NP_730343-MCO113608130601_062026-F.webp")</f>
        <v/>
      </c>
      <c r="B173" t="inlineStr">
        <is>
          <t>https://http2.mlstatic.com/D_NQ_NP_730343-MCO113608130601_062026-F.webp</t>
        </is>
      </c>
      <c r="C173" t="inlineStr">
        <is>
          <t>P-badge</t>
        </is>
      </c>
      <c r="D173" t="b">
        <v>1</v>
      </c>
      <c r="E173" t="b">
        <v>1</v>
      </c>
      <c r="F173" t="inlineStr">
        <is>
          <t>badge</t>
        </is>
      </c>
      <c r="G173" t="inlineStr">
        <is>
          <t>Mercado Lider</t>
        </is>
      </c>
      <c r="H173" t="inlineStr">
        <is>
          <t>high</t>
        </is>
      </c>
      <c r="I173" t="b">
        <v>1</v>
      </c>
      <c r="J173" t="b">
        <v>1</v>
      </c>
      <c r="K173" t="inlineStr"/>
      <c r="L173" t="inlineStr">
        <is>
          <t>LIBRO
ORIGINAL
SEGURO
SOMOS
mercado
Lider
COMPR
libreriadela
Un mundo diferente</t>
        </is>
      </c>
      <c r="M173" t="inlineStr"/>
    </row>
    <row r="174">
      <c r="A174">
        <f>IMAGE("https://http2.mlstatic.com/D_NQ_NP_664316-MLM113329352491_062026-F.webp")</f>
        <v/>
      </c>
      <c r="B174" t="inlineStr">
        <is>
          <t>https://http2.mlstatic.com/D_NQ_NP_664316-MLM113329352491_062026-F.webp</t>
        </is>
      </c>
      <c r="C174" t="inlineStr">
        <is>
          <t>P-badge</t>
        </is>
      </c>
      <c r="D174" t="b">
        <v>1</v>
      </c>
      <c r="E174" t="b">
        <v>0</v>
      </c>
      <c r="F174" t="inlineStr">
        <is>
          <t>none</t>
        </is>
      </c>
      <c r="G174" t="inlineStr"/>
      <c r="H174" t="inlineStr">
        <is>
          <t>low</t>
        </is>
      </c>
      <c r="I174" t="b">
        <v>0</v>
      </c>
      <c r="J174" t="b">
        <v>0</v>
      </c>
      <c r="K174" t="inlineStr"/>
      <c r="L174" t="inlineStr">
        <is>
          <t>#1 NEW YORK TIMES BESTSELLER
The Anxious
Generation
How the Great Rewiring of
Childhood Is Causing an Epidemic
of Mental Illness
Jonathan Haidt
Coauthor of The Coddling of the American Mind</t>
        </is>
      </c>
      <c r="M174" t="inlineStr"/>
    </row>
    <row r="175">
      <c r="A175">
        <f>IMAGE("https://http2.mlstatic.com/D_NQ_NP_739477-MLM112189697168_062026-F.webp")</f>
        <v/>
      </c>
      <c r="B175" t="inlineStr">
        <is>
          <t>https://http2.mlstatic.com/D_NQ_NP_739477-MLM112189697168_062026-F.webp</t>
        </is>
      </c>
      <c r="C175" t="inlineStr">
        <is>
          <t>P-badge</t>
        </is>
      </c>
      <c r="D175" t="b">
        <v>1</v>
      </c>
      <c r="E175" t="b">
        <v>1</v>
      </c>
      <c r="F175" t="inlineStr">
        <is>
          <t>badge</t>
        </is>
      </c>
      <c r="G175" t="inlineStr">
        <is>
          <t>Bestseller del año</t>
        </is>
      </c>
      <c r="H175" t="inlineStr">
        <is>
          <t>high</t>
        </is>
      </c>
      <c r="I175" t="b">
        <v>0</v>
      </c>
      <c r="J175" t="b">
        <v>0</v>
      </c>
      <c r="K175" t="inlineStr"/>
      <c r="L175" t="inlineStr">
        <is>
          <t>BESTSELLER
DEL AND
LA
Nº 1
INTERNACIONAL
PAREJA
LO TENÍAN TODO, MENOS LA VERDAD
DEL NÚMERO 9
Claire Douglas
Planeta</t>
        </is>
      </c>
      <c r="M175" t="inlineStr"/>
    </row>
    <row r="176">
      <c r="A176">
        <f>IMAGE("https://http2.mlstatic.com/D_NQ_NP_607736-MLA112256373006_062026-F.webp")</f>
        <v/>
      </c>
      <c r="B176" t="inlineStr">
        <is>
          <t>https://http2.mlstatic.com/D_NQ_NP_607736-MLA112256373006_062026-F.webp</t>
        </is>
      </c>
      <c r="C176" t="inlineStr">
        <is>
          <t>P-badge</t>
        </is>
      </c>
      <c r="D176" t="b">
        <v>1</v>
      </c>
      <c r="E176" t="b">
        <v>1</v>
      </c>
      <c r="F176" t="inlineStr">
        <is>
          <t>badge</t>
        </is>
      </c>
      <c r="G176" t="inlineStr">
        <is>
          <t>un sello con texto como 'Recomendado'</t>
        </is>
      </c>
      <c r="H176" t="inlineStr">
        <is>
          <t>medium</t>
        </is>
      </c>
      <c r="I176" t="b">
        <v>0</v>
      </c>
      <c r="J176" t="b">
        <v>0</v>
      </c>
      <c r="K176" t="inlineStr"/>
      <c r="L176" t="inlineStr">
        <is>
          <t>DESCUBRE GRANDE Y PEQUEÑO CON EL LÉMUR
LEANDRO
Cuentos
para leer
y escuchar
Προειδοποίηση: Ακατάλληλο για παιδιά κάτω των 3 ετών. ΠΡΟΣΟΧΗ. Περιέχει μικρά κομμάτια τα
οποία, σε περίπτωση κατάποσης ή εισπνοής, μπορεί να προκαλέσουν ασφυξία. Συνιστάται ο
καθαρισμός του προϊόντος με υγρό πανί. Αφαιρέστε</t>
        </is>
      </c>
      <c r="M176" t="inlineStr"/>
    </row>
    <row r="177">
      <c r="A177">
        <f>IMAGE("https://http2.mlstatic.com/D_NQ_NP_807725-MCO113611993187_062026-F.webp")</f>
        <v/>
      </c>
      <c r="B177" t="inlineStr">
        <is>
          <t>https://http2.mlstatic.com/D_NQ_NP_807725-MCO113611993187_062026-F.webp</t>
        </is>
      </c>
      <c r="C177" t="inlineStr">
        <is>
          <t>P-badge</t>
        </is>
      </c>
      <c r="D177" t="b">
        <v>1</v>
      </c>
      <c r="E177" t="b">
        <v>1</v>
      </c>
      <c r="F177" t="inlineStr">
        <is>
          <t>badge</t>
        </is>
      </c>
      <c r="G177" t="inlineStr">
        <is>
          <t>Mercado Lider</t>
        </is>
      </c>
      <c r="H177" t="inlineStr">
        <is>
          <t>high</t>
        </is>
      </c>
      <c r="I177" t="b">
        <v>1</v>
      </c>
      <c r="J177" t="b">
        <v>1</v>
      </c>
      <c r="K177" t="inlineStr"/>
      <c r="L177" t="inlineStr">
        <is>
          <t>LIBRO
ORIGINAL
SEGURO
SOMOS
mercado
Lider
COMPR
libreriadela
Un mundo diferente</t>
        </is>
      </c>
      <c r="M177" t="inlineStr"/>
    </row>
    <row r="178">
      <c r="A178">
        <f>IMAGE("https://http2.mlstatic.com/D_NQ_NP_628012-MLU76579850989_052024-F.webp")</f>
        <v/>
      </c>
      <c r="B178" t="inlineStr">
        <is>
          <t>https://http2.mlstatic.com/D_NQ_NP_628012-MLU76579850989_052024-F.webp</t>
        </is>
      </c>
      <c r="C178" t="inlineStr">
        <is>
          <t>P-badge</t>
        </is>
      </c>
      <c r="D178" t="b">
        <v>1</v>
      </c>
      <c r="E178" t="b">
        <v>1</v>
      </c>
      <c r="F178" t="inlineStr">
        <is>
          <t>badge</t>
        </is>
      </c>
      <c r="G178" t="inlineStr">
        <is>
          <t>un sello que imita una etiqueta oficial de MercadoLibre</t>
        </is>
      </c>
      <c r="H178" t="inlineStr">
        <is>
          <t>medium</t>
        </is>
      </c>
      <c r="I178" t="b">
        <v>0</v>
      </c>
      <c r="J178" t="b">
        <v>0</v>
      </c>
      <c r="K178" t="inlineStr"/>
      <c r="L178" t="inlineStr">
        <is>
          <t>THE WORLDWIDE BESTSELLER - NOW A MAJOR FILM
LIKE WATER
FOR
CHOCOLATE
A Novel in Monthly Instalments with
Recipes, Romances and Home Remedies
LAURA ESQUIVEL</t>
        </is>
      </c>
      <c r="M178" t="inlineStr"/>
    </row>
    <row r="179">
      <c r="A179">
        <f>IMAGE("https://http2.mlstatic.com/D_NQ_NP_785292-MLM113412390863_062026-F.webp")</f>
        <v/>
      </c>
      <c r="B179" t="inlineStr">
        <is>
          <t>https://http2.mlstatic.com/D_NQ_NP_785292-MLM113412390863_062026-F.webp</t>
        </is>
      </c>
      <c r="C179" t="inlineStr">
        <is>
          <t>P-badge</t>
        </is>
      </c>
      <c r="D179" t="b">
        <v>1</v>
      </c>
      <c r="E179" t="b">
        <v>1</v>
      </c>
      <c r="F179" t="inlineStr">
        <is>
          <t>badge</t>
        </is>
      </c>
      <c r="G179" t="inlineStr">
        <is>
          <t>un sello que imita una etiqueta oficial de MercadoLibre</t>
        </is>
      </c>
      <c r="H179" t="inlineStr">
        <is>
          <t>medium</t>
        </is>
      </c>
      <c r="I179" t="b">
        <v>0</v>
      </c>
      <c r="J179" t="b">
        <v>0</v>
      </c>
      <c r="K179" t="inlineStr"/>
      <c r="L179" t="inlineStr">
        <is>
          <t>DE LA AUTORA BESTSELLER DE MI VIDA CON LOS CHICOS WALTER
ALI NOVAK
Mc
regreso
con los
chicos
UNA CHICA
UN CHICO.
UN VERANO
DESPUÉS...
Walter
88
ALFAGUARA</t>
        </is>
      </c>
      <c r="M179" t="inlineStr"/>
    </row>
    <row r="180">
      <c r="A180">
        <f>IMAGE("https://http2.mlstatic.com/D_NQ_NP_806751-MLB112396048436_062026-F.webp")</f>
        <v/>
      </c>
      <c r="B180" t="inlineStr">
        <is>
          <t>https://http2.mlstatic.com/D_NQ_NP_806751-MLB112396048436_062026-F.webp</t>
        </is>
      </c>
      <c r="C180" t="inlineStr">
        <is>
          <t>P-badge</t>
        </is>
      </c>
      <c r="D180" t="b">
        <v>1</v>
      </c>
      <c r="E180" t="b">
        <v>0</v>
      </c>
      <c r="F180" t="inlineStr">
        <is>
          <t>none</t>
        </is>
      </c>
      <c r="G180" t="inlineStr"/>
      <c r="H180" t="inlineStr">
        <is>
          <t>low</t>
        </is>
      </c>
      <c r="I180" t="b">
        <v>0</v>
      </c>
      <c r="J180" t="b">
        <v>0</v>
      </c>
      <c r="K180" t="inlineStr"/>
      <c r="L180" t="inlineStr">
        <is>
          <t>SHERMAN
ALEXTE
A NEW YORK TIMES BESTSELLER
The
Absolutely
True
Diary
و ألمون
BOOK
of a
Part-Time
Indian
of a Part-Time Indi
Indian
The Absolutely True Diary
NATIONAL
AWARD
A NOVEL BY
WINNER
SHERMAN
ALEXIE
ART BY ELLEN FORNEY
ROE</t>
        </is>
      </c>
      <c r="M180" t="inlineStr"/>
    </row>
    <row r="181">
      <c r="A181">
        <f>IMAGE("https://http2.mlstatic.com/D_NQ_NP_610812-MLB112374901254_062026-F.webp")</f>
        <v/>
      </c>
      <c r="B181" t="inlineStr">
        <is>
          <t>https://http2.mlstatic.com/D_NQ_NP_610812-MLB112374901254_062026-F.webp</t>
        </is>
      </c>
      <c r="C181" t="inlineStr">
        <is>
          <t>P-badge</t>
        </is>
      </c>
      <c r="D181" t="b">
        <v>1</v>
      </c>
      <c r="E181" t="b">
        <v>0</v>
      </c>
      <c r="F181" t="inlineStr">
        <is>
          <t>none</t>
        </is>
      </c>
      <c r="G181" t="inlineStr"/>
      <c r="H181" t="inlineStr">
        <is>
          <t>low</t>
        </is>
      </c>
      <c r="I181" t="b">
        <v>0</v>
      </c>
      <c r="J181" t="b">
        <v>0</v>
      </c>
      <c r="K181" t="inlineStr"/>
      <c r="L181" t="inlineStr">
        <is>
          <t>CC C
ÓLEOS
C
ÓLEO S
ÓLEO SE
SA
API
VW 501
SA
API
SA
API
Indicado p
Omnicraft
da Ford Moto
Recomendad
67734501 REV
VW 501.
VW 501.0
Indicado par
Indicado pa
Omnicraft &amp;
da Ford Motor
Recomendado
REVI
Omnicraft &amp; u
da Ford Motor d
Recomendado
67734501
REV
ÓLEO SE
SAE
APIS
VW 501.01
Indicado para
Omnic</t>
        </is>
      </c>
      <c r="M181" t="inlineStr"/>
    </row>
    <row r="182">
      <c r="A182">
        <f>IMAGE("https://http2.mlstatic.com/D_NQ_NP_771388-MLM113328708603_062026-F.webp")</f>
        <v/>
      </c>
      <c r="B182" t="inlineStr">
        <is>
          <t>https://http2.mlstatic.com/D_NQ_NP_771388-MLM113328708603_062026-F.webp</t>
        </is>
      </c>
      <c r="C182" t="inlineStr">
        <is>
          <t>P-badge</t>
        </is>
      </c>
      <c r="D182" t="b">
        <v>1</v>
      </c>
      <c r="E182" t="b">
        <v>0</v>
      </c>
      <c r="F182" t="inlineStr">
        <is>
          <t>none</t>
        </is>
      </c>
      <c r="G182" t="inlineStr"/>
      <c r="H182" t="inlineStr">
        <is>
          <t>low</t>
        </is>
      </c>
      <c r="I182" t="b">
        <v>0</v>
      </c>
      <c r="J182" t="b">
        <v>0</v>
      </c>
      <c r="K182" t="inlineStr"/>
      <c r="L182" t="inlineStr">
        <is>
          <t>#1 NEW YORK TIMES BESTSELLER
Tom Lake
A Novel
Ann Patchett
REESE'S
BOOK
CLUB</t>
        </is>
      </c>
      <c r="M182" t="inlineStr"/>
    </row>
    <row r="183">
      <c r="A183">
        <f>IMAGE("https://http2.mlstatic.com/D_NQ_NP_623587-MCO113606595181_062026-F.webp")</f>
        <v/>
      </c>
      <c r="B183" t="inlineStr">
        <is>
          <t>https://http2.mlstatic.com/D_NQ_NP_623587-MCO113606595181_062026-F.webp</t>
        </is>
      </c>
      <c r="C183" t="inlineStr">
        <is>
          <t>P-badge</t>
        </is>
      </c>
      <c r="D183" t="b">
        <v>1</v>
      </c>
      <c r="E183" t="b">
        <v>1</v>
      </c>
      <c r="F183" t="inlineStr">
        <is>
          <t>badge</t>
        </is>
      </c>
      <c r="G183" t="inlineStr">
        <is>
          <t>Mercado Lider</t>
        </is>
      </c>
      <c r="H183" t="inlineStr">
        <is>
          <t>high</t>
        </is>
      </c>
      <c r="I183" t="b">
        <v>1</v>
      </c>
      <c r="J183" t="b">
        <v>1</v>
      </c>
      <c r="K183" t="inlineStr"/>
      <c r="L183" t="inlineStr">
        <is>
          <t>LIBRO
ORIGINAL
SEGURO
SOMOS
mercado
Lider
COMPR
libreriadela
Un mundo diferente</t>
        </is>
      </c>
      <c r="M183" t="inlineStr"/>
    </row>
    <row r="184">
      <c r="A184">
        <f>IMAGE("https://http2.mlstatic.com/D_NQ_NP_712007-MCO112459137250_062026-F.webp")</f>
        <v/>
      </c>
      <c r="B184" t="inlineStr">
        <is>
          <t>https://http2.mlstatic.com/D_NQ_NP_712007-MCO112459137250_062026-F.webp</t>
        </is>
      </c>
      <c r="C184" t="inlineStr">
        <is>
          <t>P-badge</t>
        </is>
      </c>
      <c r="D184" t="b">
        <v>1</v>
      </c>
      <c r="E184" t="b">
        <v>1</v>
      </c>
      <c r="F184" t="inlineStr">
        <is>
          <t>badge</t>
        </is>
      </c>
      <c r="G184" t="inlineStr">
        <is>
          <t>Mercado Lider</t>
        </is>
      </c>
      <c r="H184" t="inlineStr">
        <is>
          <t>high</t>
        </is>
      </c>
      <c r="I184" t="b">
        <v>1</v>
      </c>
      <c r="J184" t="b">
        <v>1</v>
      </c>
      <c r="K184" t="inlineStr"/>
      <c r="L184" t="inlineStr">
        <is>
          <t>LIBRO
ORIGINAL
SEGURO
SOMOS
mercado
Lider
COMPR
libreriadela
Un mundo diferente</t>
        </is>
      </c>
      <c r="M184" t="inlineStr"/>
    </row>
    <row r="185">
      <c r="A185">
        <f>IMAGE("https://http2.mlstatic.com/D_NQ_NP_895816-MLA47233740554_082021-F.webp")</f>
        <v/>
      </c>
      <c r="B185" t="inlineStr">
        <is>
          <t>https://http2.mlstatic.com/D_NQ_NP_895816-MLA47233740554_082021-F.webp</t>
        </is>
      </c>
      <c r="C185" t="inlineStr">
        <is>
          <t>P-badge</t>
        </is>
      </c>
      <c r="D185" t="b">
        <v>1</v>
      </c>
      <c r="E185" t="b">
        <v>0</v>
      </c>
      <c r="F185" t="inlineStr">
        <is>
          <t>none</t>
        </is>
      </c>
      <c r="G185" t="inlineStr"/>
      <c r="H185" t="inlineStr">
        <is>
          <t>low</t>
        </is>
      </c>
      <c r="I185" t="b">
        <v>0</v>
      </c>
      <c r="J185" t="b">
        <v>0</v>
      </c>
      <c r="K185" t="inlineStr"/>
      <c r="L185" t="inlineStr">
        <is>
          <t>MÍRIAM TIRADO
Autora del bestseller Rabietas
RemoVidas
HISTORIAS A FLOR DE PIEL
URANO</t>
        </is>
      </c>
      <c r="M185" t="inlineStr"/>
    </row>
    <row r="186">
      <c r="A186">
        <f>IMAGE("https://http2.mlstatic.com/D_NQ_NP_977482-MLA113416542011_062026-F.webp")</f>
        <v/>
      </c>
      <c r="B186" t="inlineStr">
        <is>
          <t>https://http2.mlstatic.com/D_NQ_NP_977482-MLA113416542011_062026-F.webp</t>
        </is>
      </c>
      <c r="C186" t="inlineStr">
        <is>
          <t>P-badge</t>
        </is>
      </c>
      <c r="D186" t="b">
        <v>1</v>
      </c>
      <c r="E186" t="b">
        <v>1</v>
      </c>
      <c r="F186" t="inlineStr">
        <is>
          <t>badge</t>
        </is>
      </c>
      <c r="G186" t="inlineStr">
        <is>
          <t>un sello que imita una etiqueta oficial de MercadoLibre</t>
        </is>
      </c>
      <c r="H186" t="inlineStr">
        <is>
          <t>high</t>
        </is>
      </c>
      <c r="I186" t="b">
        <v>0</v>
      </c>
      <c r="J186" t="b">
        <v>0</v>
      </c>
      <c r="K186" t="inlineStr"/>
      <c r="L186" t="inlineStr">
        <is>
          <t>MARIE BENEDICT
Un bestseller instantáneo de US Today
y The New York Times
EL
SECRETO
DE
IS
AGATHA
UNA NOVELA APASIONANTE SOBRE LA MISTERIOSA
DESAPARICIÓN DE LA REINA DEL CRIMEN
booket</t>
        </is>
      </c>
      <c r="M186" t="inlineStr"/>
    </row>
    <row r="187">
      <c r="A187">
        <f>IMAGE("https://http2.mlstatic.com/D_NQ_NP_750338-MLB112472045006_062026-F.webp")</f>
        <v/>
      </c>
      <c r="B187" t="inlineStr">
        <is>
          <t>https://http2.mlstatic.com/D_NQ_NP_750338-MLB112472045006_062026-F.webp</t>
        </is>
      </c>
      <c r="C187" t="inlineStr">
        <is>
          <t>P-badge</t>
        </is>
      </c>
      <c r="D187" t="b">
        <v>1</v>
      </c>
      <c r="E187" t="b">
        <v>0</v>
      </c>
      <c r="F187" t="inlineStr">
        <is>
          <t>none</t>
        </is>
      </c>
      <c r="G187" t="inlineStr"/>
      <c r="H187" t="inlineStr">
        <is>
          <t>low</t>
        </is>
      </c>
      <c r="I187" t="b">
        <v>1</v>
      </c>
      <c r="J187" t="b">
        <v>1</v>
      </c>
      <c r="K187" t="inlineStr"/>
      <c r="L187" t="inlineStr">
        <is>
          <t>COPO TÉRMICO
CORINTHIANS
AÇO INOXIDÁVEL
*
TÉRMICO
Mantém a temperatura
por mais tempo
AÇO INOX 304
Mais durável, resistente
e não enferruja
al
INTHIANS
DESIGN EXCLUSIVO
Escudo do Corinthians
em alta definição
RESISTENTE
Ideal para o dia a dia,
em casa, no trabalho
ou no lazer
1910
ENVIO
RÁPIDO
COMPR</t>
        </is>
      </c>
      <c r="M187" t="inlineStr"/>
    </row>
    <row r="188">
      <c r="A188">
        <f>IMAGE("https://http2.mlstatic.com/D_NQ_NP_822016-MCO112457363544_062026-F.webp")</f>
        <v/>
      </c>
      <c r="B188" t="inlineStr">
        <is>
          <t>https://http2.mlstatic.com/D_NQ_NP_822016-MCO112457363544_062026-F.webp</t>
        </is>
      </c>
      <c r="C188" t="inlineStr">
        <is>
          <t>P-badge</t>
        </is>
      </c>
      <c r="D188" t="b">
        <v>1</v>
      </c>
      <c r="E188" t="b">
        <v>1</v>
      </c>
      <c r="F188" t="inlineStr">
        <is>
          <t>badge</t>
        </is>
      </c>
      <c r="G188" t="inlineStr">
        <is>
          <t>Mercado Lider</t>
        </is>
      </c>
      <c r="H188" t="inlineStr">
        <is>
          <t>high</t>
        </is>
      </c>
      <c r="I188" t="b">
        <v>1</v>
      </c>
      <c r="J188" t="b">
        <v>1</v>
      </c>
      <c r="K188" t="inlineStr"/>
      <c r="L188" t="inlineStr">
        <is>
          <t>LIBRO
ORIGINAL
SEGURO
SOMOS
mercado
Lider
COMPR
libreriadela
Un mundo diferente</t>
        </is>
      </c>
      <c r="M188" t="inlineStr"/>
    </row>
    <row r="189">
      <c r="A189">
        <f>IMAGE("https://http2.mlstatic.com/D_NQ_NP_794866-MLB112249639086_062026-F.webp")</f>
        <v/>
      </c>
      <c r="B189" t="inlineStr">
        <is>
          <t>https://http2.mlstatic.com/D_NQ_NP_794866-MLB112249639086_062026-F.webp</t>
        </is>
      </c>
      <c r="C189" t="inlineStr">
        <is>
          <t>P-badge</t>
        </is>
      </c>
      <c r="D189" t="b">
        <v>1</v>
      </c>
      <c r="E189" t="b">
        <v>1</v>
      </c>
      <c r="F189" t="inlineStr">
        <is>
          <t>badge</t>
        </is>
      </c>
      <c r="G189" t="inlineStr">
        <is>
          <t>NINHO</t>
        </is>
      </c>
      <c r="H189" t="inlineStr">
        <is>
          <t>medium</t>
        </is>
      </c>
      <c r="I189" t="b">
        <v>0</v>
      </c>
      <c r="J189" t="b">
        <v>0</v>
      </c>
      <c r="K189" t="inlineStr"/>
      <c r="L189" t="inlineStr">
        <is>
          <t xml:space="preserve">INTEGRAL
INSTANTÂNEO
RENDE 15 COPOS
Nestle
NINHO
ANOS
DO LEITEN.º1
LEITE INTEGRAL INSTANTÂNEO
ORIGINAL
DESDE 1944
380g
VITO, FERRO E ZINCO
380
MSIMPORTANTE ESTE PRODUTO NÃO DEVE SER USADO PARA ALIMENTAR CRIANÇAS MENORES DE 1 (UM) ANO DE IDADE, EXCETO POR INDICACÃO EXPRESSADE
HEICO OU NUTRICIONISTA. </t>
        </is>
      </c>
      <c r="M189" t="inlineStr"/>
    </row>
    <row r="190">
      <c r="A190">
        <f>IMAGE("https://http2.mlstatic.com/D_NQ_NP_813082-MLU69761119910_062023-F.webp")</f>
        <v/>
      </c>
      <c r="B190" t="inlineStr">
        <is>
          <t>https://http2.mlstatic.com/D_NQ_NP_813082-MLU69761119910_062023-F.webp</t>
        </is>
      </c>
      <c r="C190" t="inlineStr">
        <is>
          <t>P-badge</t>
        </is>
      </c>
      <c r="D190" t="b">
        <v>1</v>
      </c>
      <c r="E190" t="b">
        <v>0</v>
      </c>
      <c r="F190" t="inlineStr">
        <is>
          <t>none</t>
        </is>
      </c>
      <c r="G190" t="inlineStr"/>
      <c r="H190" t="inlineStr">
        <is>
          <t>low</t>
        </is>
      </c>
      <c r="I190" t="b">
        <v>0</v>
      </c>
      <c r="J190" t="b">
        <v>0</v>
      </c>
      <c r="K190" t="inlineStr"/>
      <c r="L190" t="inlineStr">
        <is>
          <t>«No era consciente del conjunto de logros extraordinarios,
de innovación, supervivencia y triunfo, que hay detrás del logo de Nike.
André Agassi, autor del bestseller Open
NUNCA
TE PARES
AUTOBIOGRAFÍA DEL FUNDADOR DE NIKE
PHIL
KNIGHT
conecta</t>
        </is>
      </c>
      <c r="M190" t="inlineStr"/>
    </row>
    <row r="191">
      <c r="A191">
        <f>IMAGE("https://http2.mlstatic.com/D_NQ_NP_687982-MLU70654860592_072023-F.webp")</f>
        <v/>
      </c>
      <c r="B191" t="inlineStr">
        <is>
          <t>https://http2.mlstatic.com/D_NQ_NP_687982-MLU70654860592_072023-F.webp</t>
        </is>
      </c>
      <c r="C191" t="inlineStr">
        <is>
          <t>P-badge</t>
        </is>
      </c>
      <c r="D191" t="b">
        <v>1</v>
      </c>
      <c r="E191" t="b">
        <v>0</v>
      </c>
      <c r="F191" t="inlineStr">
        <is>
          <t>none</t>
        </is>
      </c>
      <c r="G191" t="inlineStr"/>
      <c r="H191" t="inlineStr">
        <is>
          <t>high</t>
        </is>
      </c>
      <c r="I191" t="b">
        <v>0</v>
      </c>
      <c r="J191" t="b">
        <v>0</v>
      </c>
      <c r="K191" t="inlineStr"/>
      <c r="L191" t="inlineStr">
        <is>
          <t>DR. GABOR MATÉ
Autor del bestseller Chando el cuerpo dice &lt;NO&gt;
MENTES
Dispersas
Los orígenes y la curación del
TRASTORNO POR
DÉFICIT DE ATENCIÓN
(TDA)
Saia</t>
        </is>
      </c>
      <c r="M191" t="inlineStr"/>
    </row>
    <row r="192">
      <c r="A192">
        <f>IMAGE("https://http2.mlstatic.com/D_NQ_NP_800840-MLU72520023700_102023-F.webp")</f>
        <v/>
      </c>
      <c r="B192" t="inlineStr">
        <is>
          <t>https://http2.mlstatic.com/D_NQ_NP_800840-MLU72520023700_102023-F.webp</t>
        </is>
      </c>
      <c r="C192" t="inlineStr">
        <is>
          <t>P-badge</t>
        </is>
      </c>
      <c r="D192" t="b">
        <v>1</v>
      </c>
      <c r="E192" t="b">
        <v>1</v>
      </c>
      <c r="F192" t="inlineStr">
        <is>
          <t>badge</t>
        </is>
      </c>
      <c r="G192" t="inlineStr">
        <is>
          <t>un sello con texto como 'Recomendado' o 'Hot Sale' dibujado sobre la imagen</t>
        </is>
      </c>
      <c r="H192" t="inlineStr">
        <is>
          <t>medium</t>
        </is>
      </c>
      <c r="I192" t="b">
        <v>0</v>
      </c>
      <c r="J192" t="b">
        <v>0</v>
      </c>
      <c r="K192" t="inlineStr"/>
      <c r="L192" t="inlineStr">
        <is>
          <t>BESTSELLER MUNDIAL TRADUCIDO A 21 IDIOMAS
Mini
HÁBITOS
Cómo lograr
Grandes Resultados
con el mínimo esfuerzo
STEPHEN GUISE
IRIO</t>
        </is>
      </c>
      <c r="M192" t="inlineStr"/>
    </row>
    <row r="193">
      <c r="A193">
        <f>IMAGE("https://http2.mlstatic.com/D_NQ_NP_788426-MLB85533525932_062025-F.webp")</f>
        <v/>
      </c>
      <c r="B193" t="inlineStr">
        <is>
          <t>https://http2.mlstatic.com/D_NQ_NP_788426-MLB85533525932_062025-F.webp</t>
        </is>
      </c>
      <c r="C193" t="inlineStr">
        <is>
          <t>P-badge</t>
        </is>
      </c>
      <c r="D193" t="b">
        <v>1</v>
      </c>
      <c r="E193" t="b">
        <v>1</v>
      </c>
      <c r="F193" t="inlineStr">
        <is>
          <t>badge</t>
        </is>
      </c>
      <c r="G193" t="inlineStr">
        <is>
          <t>MercadoLíder</t>
        </is>
      </c>
      <c r="H193" t="inlineStr">
        <is>
          <t>medium</t>
        </is>
      </c>
      <c r="I193" t="b">
        <v>1</v>
      </c>
      <c r="J193" t="b">
        <v>1</v>
      </c>
      <c r="K193" t="inlineStr"/>
      <c r="L193" t="inlineStr">
        <is>
          <t>ETIQUETAS
IDENTIFICAÇÃO VEICULAR
SCANIA SCANIA SCANIA SCANS
*R404 08* GM 9BGKL48U0HB17 33 RP29
24-
SCANIA SCANIA SCANIA SCAN1527367
CANIA SCANIA SCANIA SCANIA S
SCANIA SCANIA SCANIA SCAN 2
LANA
SO
CANIA
ASCA
GM 9BGKL48U0HB17 33
*RP29
24-
CANIA EMQUET
9BGKL48U0HB17 33 RP29 24°
ORIGIN
ETIQUETAS ORIGIN</t>
        </is>
      </c>
      <c r="M193" t="inlineStr"/>
    </row>
    <row r="194">
      <c r="A194">
        <f>IMAGE("https://http2.mlstatic.com/D_NQ_NP_652259-MLU74394989326_022024-F.webp")</f>
        <v/>
      </c>
      <c r="B194" t="inlineStr">
        <is>
          <t>https://http2.mlstatic.com/D_NQ_NP_652259-MLU74394989326_022024-F.webp</t>
        </is>
      </c>
      <c r="C194" t="inlineStr">
        <is>
          <t>P-badge</t>
        </is>
      </c>
      <c r="D194" t="b">
        <v>1</v>
      </c>
      <c r="E194" t="b">
        <v>1</v>
      </c>
      <c r="F194" t="inlineStr">
        <is>
          <t>badge</t>
        </is>
      </c>
      <c r="G194" t="inlineStr">
        <is>
          <t>textos sobrepuestos con el texto 'mas vendido' y 'recomendado'</t>
        </is>
      </c>
      <c r="H194" t="inlineStr">
        <is>
          <t>high</t>
        </is>
      </c>
      <c r="I194" t="b">
        <v>0</v>
      </c>
      <c r="J194" t="b">
        <v>0</v>
      </c>
      <c r="K194" t="inlineStr"/>
      <c r="L194" t="inlineStr">
        <is>
          <t>JEN SINCERO
ERES
un@
CHINGON@
HACIENDO
DINERO
ORDENA TUS FINANZAS Y CREA
UNA VIDA DE ABUNDANCIA
MÁS DE UN MILLON DE CEMPLARES VENDIDOS
¡ERES
un
CHINGÓN!
COMO DEJAR DE DUDAR DE
TU GRANDEZA
Y COMENZAR A VIVIR UNA
VIDA INCREÍBLE
JEN SINCERO
AUTORA DEL
BESTSELLER
DE THE NEW
YORK TIMES
booket</t>
        </is>
      </c>
      <c r="M194" t="inlineStr"/>
    </row>
    <row r="195">
      <c r="A195">
        <f>IMAGE("https://http2.mlstatic.com/D_NQ_NP_982485-MLA112321946674_062026-F.webp")</f>
        <v/>
      </c>
      <c r="B195" t="inlineStr">
        <is>
          <t>https://http2.mlstatic.com/D_NQ_NP_982485-MLA112321946674_062026-F.webp</t>
        </is>
      </c>
      <c r="C195" t="inlineStr">
        <is>
          <t>P-badge</t>
        </is>
      </c>
      <c r="D195" t="b">
        <v>1</v>
      </c>
      <c r="E195" t="b">
        <v>0</v>
      </c>
      <c r="F195" t="inlineStr">
        <is>
          <t>none</t>
        </is>
      </c>
      <c r="G195" t="inlineStr"/>
      <c r="H195" t="inlineStr">
        <is>
          <t>low</t>
        </is>
      </c>
      <c r="I195" t="b">
        <v>0</v>
      </c>
      <c r="J195" t="b">
        <v>0</v>
      </c>
      <c r="K195" t="inlineStr"/>
      <c r="L195" t="inlineStr">
        <is>
          <t>INTERNATIONAL BESTSELLER
9
Think
Rem
Paths to
Transform
Your Life
and Make a
Difference
ark
able
GUY
Foreword by
JANE GOODALL
KAWASAKI
with MADISUN NUISMER</t>
        </is>
      </c>
      <c r="M195" t="inlineStr"/>
    </row>
    <row r="196">
      <c r="A196">
        <f>IMAGE("https://http2.mlstatic.com/D_NQ_NP_709633-MCO112448516884_062026-F.webp")</f>
        <v/>
      </c>
      <c r="B196" t="inlineStr">
        <is>
          <t>https://http2.mlstatic.com/D_NQ_NP_709633-MCO112448516884_062026-F.webp</t>
        </is>
      </c>
      <c r="C196" t="inlineStr">
        <is>
          <t>P-badge</t>
        </is>
      </c>
      <c r="D196" t="b">
        <v>1</v>
      </c>
      <c r="E196" t="b">
        <v>1</v>
      </c>
      <c r="F196" t="inlineStr">
        <is>
          <t>badge</t>
        </is>
      </c>
      <c r="G196" t="inlineStr">
        <is>
          <t>Mercado Lider</t>
        </is>
      </c>
      <c r="H196" t="inlineStr">
        <is>
          <t>high</t>
        </is>
      </c>
      <c r="I196" t="b">
        <v>1</v>
      </c>
      <c r="J196" t="b">
        <v>1</v>
      </c>
      <c r="K196" t="inlineStr"/>
      <c r="L196" t="inlineStr">
        <is>
          <t>LIBRO
ORIGINAL
SEGURO
SOMOS
mercado
Lider
COMPR
libreriadela
Un mundo diferente</t>
        </is>
      </c>
      <c r="M196" t="inlineStr"/>
    </row>
    <row r="197">
      <c r="A197">
        <f>IMAGE("https://http2.mlstatic.com/D_NQ_NP_638782-MCO112457284610_062026-F.webp")</f>
        <v/>
      </c>
      <c r="B197" t="inlineStr">
        <is>
          <t>https://http2.mlstatic.com/D_NQ_NP_638782-MCO112457284610_062026-F.webp</t>
        </is>
      </c>
      <c r="C197" t="inlineStr">
        <is>
          <t>P-badge</t>
        </is>
      </c>
      <c r="D197" t="b">
        <v>1</v>
      </c>
      <c r="E197" t="b">
        <v>1</v>
      </c>
      <c r="F197" t="inlineStr">
        <is>
          <t>badge</t>
        </is>
      </c>
      <c r="G197" t="inlineStr">
        <is>
          <t>Mercado Lider</t>
        </is>
      </c>
      <c r="H197" t="inlineStr">
        <is>
          <t>high</t>
        </is>
      </c>
      <c r="I197" t="b">
        <v>1</v>
      </c>
      <c r="J197" t="b">
        <v>1</v>
      </c>
      <c r="K197" t="inlineStr"/>
      <c r="L197" t="inlineStr">
        <is>
          <t>LIBRO
ORIGINAL
SEGURO
SOMOS
mercado
Lider
COMPR
libreriadela
Un mundo diferente</t>
        </is>
      </c>
      <c r="M197" t="inlineStr"/>
    </row>
    <row r="198">
      <c r="A198">
        <f>IMAGE("https://http2.mlstatic.com/D_NQ_NP_656443-MLA99936672829_112025-F.webp")</f>
        <v/>
      </c>
      <c r="B198" t="inlineStr">
        <is>
          <t>https://http2.mlstatic.com/D_NQ_NP_656443-MLA99936672829_112025-F.webp</t>
        </is>
      </c>
      <c r="C198" t="inlineStr">
        <is>
          <t>P-badge</t>
        </is>
      </c>
      <c r="D198" t="b">
        <v>1</v>
      </c>
      <c r="E198" t="b">
        <v>0</v>
      </c>
      <c r="F198" t="inlineStr">
        <is>
          <t>none</t>
        </is>
      </c>
      <c r="G198" t="inlineStr"/>
      <c r="H198" t="inlineStr">
        <is>
          <t>low</t>
        </is>
      </c>
      <c r="I198" t="b">
        <v>0</v>
      </c>
      <c r="J198" t="b">
        <v>0</v>
      </c>
      <c r="K198" t="inlineStr"/>
      <c r="L198" t="inlineStr">
        <is>
          <t>Hill's
PRESCRIPTION
DIET
URINARY
CARE
SANTÉ URINAIRE / CUIDADO URINARIO
c/d
Multicare
VETERINARIAN
RECOMMENDED
RECOMMANDÉE PAR LES VÉTÉRINAIRES/
RECOMENDADO POR VETERINARIOS
CLINICAL
NUTRITION
S+OX
SHIELD/
WITH CHICKEN
AVEC POULET
CON POLLO
THERAPEUTIC CAT NUTRITION
NOURRITURE THÉRAPEUTIQUE POUR CHA</t>
        </is>
      </c>
      <c r="M198" t="inlineStr"/>
    </row>
    <row r="199">
      <c r="A199">
        <f>IMAGE("https://http2.mlstatic.com/D_NQ_NP_649194-MLA100129514661_122025-F.webp")</f>
        <v/>
      </c>
      <c r="B199" t="inlineStr">
        <is>
          <t>https://http2.mlstatic.com/D_NQ_NP_649194-MLA100129514661_122025-F.webp</t>
        </is>
      </c>
      <c r="C199" t="inlineStr">
        <is>
          <t>P-badge</t>
        </is>
      </c>
      <c r="D199" t="b">
        <v>1</v>
      </c>
      <c r="E199" t="b">
        <v>0</v>
      </c>
      <c r="F199" t="inlineStr">
        <is>
          <t>none</t>
        </is>
      </c>
      <c r="G199" t="inlineStr"/>
      <c r="H199" t="inlineStr">
        <is>
          <t>low</t>
        </is>
      </c>
      <c r="I199" t="b">
        <v>0</v>
      </c>
      <c r="J199" t="b">
        <v>0</v>
      </c>
      <c r="K199" t="inlineStr"/>
      <c r="L199" t="inlineStr">
        <is>
          <t>Valvoling
V
Valvoline
DEX/MERC
RECOMMENDED FOR
DEXON MERCON
AND MORE APPLICATIONS
RECOMENDADO PARA
DEXBON MERCON
YMAS APLICACIONES
ATF FLUIDO DE TRANSMISIÓN AUTOMÁTICA
AUTOMATIC TRANSMISSION FLUID
1 US. QT/CONT.NET. 946mL</t>
        </is>
      </c>
      <c r="M199" t="inlineStr"/>
    </row>
    <row r="200">
      <c r="A200">
        <f>IMAGE("https://http2.mlstatic.com/D_NQ_NP_785311-MLU78970114737_092024-F.webp")</f>
        <v/>
      </c>
      <c r="B200" t="inlineStr">
        <is>
          <t>https://http2.mlstatic.com/D_NQ_NP_785311-MLU78970114737_092024-F.webp</t>
        </is>
      </c>
      <c r="C200" t="inlineStr">
        <is>
          <t>P-badge</t>
        </is>
      </c>
      <c r="D200" t="b">
        <v>1</v>
      </c>
      <c r="E200" t="b">
        <v>1</v>
      </c>
      <c r="F200" t="inlineStr">
        <is>
          <t>badge</t>
        </is>
      </c>
      <c r="G200" t="inlineStr">
        <is>
          <t>Recomendado</t>
        </is>
      </c>
      <c r="H200" t="inlineStr">
        <is>
          <t>medium</t>
        </is>
      </c>
      <c r="I200" t="b">
        <v>0</v>
      </c>
      <c r="J200" t="b">
        <v>0</v>
      </c>
      <c r="K200" t="inlineStr"/>
      <c r="L200" t="inlineStr">
        <is>
          <t>A
G
Printalot
FILAMENTOS PARA IMPRESORAS 3D
PLA
1,75 mm
@ingeo
Pass/P/Net wt1 kg
NUEVO
Recomendado para
pantallas de lámparas.
0.4
www.printalot.com.or
180-230 C'
CAMA
0.5 20-60 C
0.2
H
Printalot
FILAMENTOS PARA IMPRESORES 30
INDUSTRIA
ARGENTINA
info@printalot.com.or
tion
1kg
E</t>
        </is>
      </c>
      <c r="M200" t="inlineStr"/>
    </row>
    <row r="201">
      <c r="A201">
        <f>IMAGE("https://http2.mlstatic.com/D_NQ_NP_667591-MLA112341681484_062026-F.webp")</f>
        <v/>
      </c>
      <c r="B201" t="inlineStr">
        <is>
          <t>https://http2.mlstatic.com/D_NQ_NP_667591-MLA112341681484_062026-F.webp</t>
        </is>
      </c>
      <c r="C201" t="inlineStr">
        <is>
          <t>P-badge</t>
        </is>
      </c>
      <c r="D201" t="b">
        <v>1</v>
      </c>
      <c r="E201" t="b">
        <v>1</v>
      </c>
      <c r="F201" t="inlineStr">
        <is>
          <t>badge</t>
        </is>
      </c>
      <c r="G201" t="inlineStr">
        <is>
          <t>un sello con texto como 'Recomendado' o 'Hot Sale' dibujado sobre la imagen</t>
        </is>
      </c>
      <c r="H201" t="inlineStr">
        <is>
          <t>medium</t>
        </is>
      </c>
      <c r="I201" t="b">
        <v>0</v>
      </c>
      <c r="J201" t="b">
        <v>0</v>
      </c>
      <c r="K201" t="inlineStr"/>
      <c r="L201" t="inlineStr">
        <is>
          <t>NEW YORK TIMES BESTSELLER
STAR
WARS
ALLEGIANCE
TIMOTHY ZAHN</t>
        </is>
      </c>
      <c r="M201" t="inlineStr"/>
    </row>
    <row r="202">
      <c r="A202">
        <f>IMAGE("https://http2.mlstatic.com/D_NQ_NP_660564-MLC112213034598_062026-F.webp")</f>
        <v/>
      </c>
      <c r="B202" t="inlineStr">
        <is>
          <t>https://http2.mlstatic.com/D_NQ_NP_660564-MLC112213034598_062026-F.webp</t>
        </is>
      </c>
      <c r="C202" t="inlineStr">
        <is>
          <t>P-promo</t>
        </is>
      </c>
      <c r="D202" t="b">
        <v>1</v>
      </c>
      <c r="E202" t="b">
        <v>1</v>
      </c>
      <c r="F202" t="inlineStr">
        <is>
          <t>badge</t>
        </is>
      </c>
      <c r="G202" t="inlineStr">
        <is>
          <t>un sello con texto como 'Recomendado' o 'Hot Sale' dibujado sobre la imagen</t>
        </is>
      </c>
      <c r="H202" t="inlineStr">
        <is>
          <t>medium</t>
        </is>
      </c>
      <c r="I202" t="b">
        <v>1</v>
      </c>
      <c r="J202" t="b">
        <v>1</v>
      </c>
      <c r="K202" t="inlineStr"/>
      <c r="L202" t="inlineStr">
        <is>
          <t>ALBUM + (1 SOBRE GRATIS)
OFFICIAL STICKER
COLLECTION
G
FIFA
WORLD CUP
2026
STICKER ALBUM ÁLBUM DE CROMOS
ALBUM D'AUTOCOLLANTS
PANINI
FIFA
WORLD CUP
2026
4242405005</t>
        </is>
      </c>
      <c r="M202" t="inlineStr"/>
    </row>
    <row r="203">
      <c r="A203">
        <f>IMAGE("https://http2.mlstatic.com/D_NQ_NP_827044-MLB48970023705_012022-F.webp")</f>
        <v/>
      </c>
      <c r="B203" t="inlineStr">
        <is>
          <t>https://http2.mlstatic.com/D_NQ_NP_827044-MLB48970023705_012022-F.webp</t>
        </is>
      </c>
      <c r="C203" t="inlineStr">
        <is>
          <t>P-promo</t>
        </is>
      </c>
      <c r="D203" t="b">
        <v>1</v>
      </c>
      <c r="E203" t="b">
        <v>1</v>
      </c>
      <c r="F203" t="inlineStr">
        <is>
          <t>promo</t>
        </is>
      </c>
      <c r="G203" t="inlineStr">
        <is>
          <t>SUPER OFERTA!</t>
        </is>
      </c>
      <c r="H203" t="inlineStr">
        <is>
          <t>high</t>
        </is>
      </c>
      <c r="I203" t="b">
        <v>1</v>
      </c>
      <c r="J203" t="b">
        <v>1</v>
      </c>
      <c r="K203" t="inlineStr"/>
      <c r="L203" t="inlineStr">
        <is>
          <t xml:space="preserve">GRÁTIS
3 ADAPTADOR
O MELHOR DO BRA
O MELHOR D RAS
O MELHOR BRAS
SUPER
OFERTA!
O MELHOR D RAS
KIT 3 UNID
</t>
        </is>
      </c>
      <c r="M203" t="inlineStr"/>
    </row>
    <row r="204">
      <c r="A204">
        <f>IMAGE("https://http2.mlstatic.com/D_NQ_NP_657019-MLA111036753121_042026-F.webp")</f>
        <v/>
      </c>
      <c r="B204" t="inlineStr">
        <is>
          <t>https://http2.mlstatic.com/D_NQ_NP_657019-MLA111036753121_042026-F.webp</t>
        </is>
      </c>
      <c r="C204" t="inlineStr">
        <is>
          <t>P-promo</t>
        </is>
      </c>
      <c r="D204" t="b">
        <v>1</v>
      </c>
      <c r="E204" t="b">
        <v>1</v>
      </c>
      <c r="F204" t="inlineStr">
        <is>
          <t>promo</t>
        </is>
      </c>
      <c r="G204" t="inlineStr">
        <is>
          <t>Anticipo: $2.427.300 + 6 CUOTAS SIN INTERÉS</t>
        </is>
      </c>
      <c r="H204" t="inlineStr">
        <is>
          <t>high</t>
        </is>
      </c>
      <c r="I204" t="b">
        <v>1</v>
      </c>
      <c r="J204" t="b">
        <v>1</v>
      </c>
      <c r="K204" t="inlineStr"/>
      <c r="L204" t="inlineStr">
        <is>
          <t>Anticipo:
$2.427.300
6 SIN INTERÉS
CUOTAS
FZAS
VEL INJECTION
*El precio publicado corresponde unicamente a oferta por pago de contado.
*Financiacion sin interés sobre el precio de lista oficial Yamaha Motor Argentina.</t>
        </is>
      </c>
      <c r="M204" t="inlineStr"/>
    </row>
    <row r="205">
      <c r="A205">
        <f>IMAGE("https://http2.mlstatic.com/D_NQ_NP_856539-CBT113597087745_062026-F.webp")</f>
        <v/>
      </c>
      <c r="B205" t="inlineStr">
        <is>
          <t>https://http2.mlstatic.com/D_NQ_NP_856539-CBT113597087745_062026-F.webp</t>
        </is>
      </c>
      <c r="C205" t="inlineStr">
        <is>
          <t>P-promo</t>
        </is>
      </c>
      <c r="D205" t="b">
        <v>1</v>
      </c>
      <c r="E205" t="b">
        <v>1</v>
      </c>
      <c r="F205" t="inlineStr">
        <is>
          <t>badge</t>
        </is>
      </c>
      <c r="G205" t="inlineStr">
        <is>
          <t>Lanzamiento de nuevo producto</t>
        </is>
      </c>
      <c r="H205" t="inlineStr">
        <is>
          <t>medium</t>
        </is>
      </c>
      <c r="I205" t="b">
        <v>0</v>
      </c>
      <c r="J205" t="b">
        <v>0</v>
      </c>
      <c r="K205" t="inlineStr"/>
      <c r="L205" t="inlineStr">
        <is>
          <t>DDBSHIY
CLARIFYING GENTLE HAIR
REMOVAL CREAM
净肤柔和脱毛膏
EASY HAIR REMOVAL
SILKY TEXTURE
SMOOTH &amp; REFRESHING
○轻松脱毛〇丝滑地〇净滑清爽
净含量:200g
Limpieza de la piel y
depilación, apto para
pieles sensibles.
Llega directamente a la raíz del
cabello sin dejar manchas negras.
New
Lanzamiento de
nuevo producto
-Viene c</t>
        </is>
      </c>
      <c r="M205" t="inlineStr"/>
    </row>
    <row r="206">
      <c r="A206">
        <f>IMAGE("https://http2.mlstatic.com/D_NQ_NP_715314-MLB104150642911_012026-F.webp")</f>
        <v/>
      </c>
      <c r="B206" t="inlineStr">
        <is>
          <t>https://http2.mlstatic.com/D_NQ_NP_715314-MLB104150642911_012026-F.webp</t>
        </is>
      </c>
      <c r="C206" t="inlineStr">
        <is>
          <t>P-promo</t>
        </is>
      </c>
      <c r="D206" t="b">
        <v>1</v>
      </c>
      <c r="E206" t="b">
        <v>1</v>
      </c>
      <c r="F206" t="inlineStr">
        <is>
          <t>badge</t>
        </is>
      </c>
      <c r="G206" t="inlineStr">
        <is>
          <t>Mas vendido</t>
        </is>
      </c>
      <c r="H206" t="inlineStr">
        <is>
          <t>high</t>
        </is>
      </c>
      <c r="I206" t="b">
        <v>0</v>
      </c>
      <c r="J206" t="b">
        <v>0</v>
      </c>
      <c r="K206" t="inlineStr"/>
      <c r="L206" t="inlineStr">
        <is>
          <t>Gillette
CONTÉM/CONTENIDO 2
Prestobarba Ultra Grip 2
CABEZA FIJA
CABEÇA FIXA
APARELHOS
DESCARTÁVEIS
MÁQUINAS PARA
AFEITAR DESECHABLES
F D F F F F F D D F F F D D
Gillette
LA AFEITADORA
DE 2 HOJAS
MÁS VENDIDA
DEL MUNDO
O APARELHO
DESCARTÁVEL DE
2 LAMINAS
MAIS VENDIDO
NO MUNDO
wwwwwwwwwwwwwwww
Gillett</t>
        </is>
      </c>
      <c r="M206" t="inlineStr"/>
    </row>
    <row r="207">
      <c r="A207">
        <f>IMAGE("https://http2.mlstatic.com/D_NQ_NP_881770-MLA112467813828_062026-F.webp")</f>
        <v/>
      </c>
      <c r="B207" t="inlineStr">
        <is>
          <t>https://http2.mlstatic.com/D_NQ_NP_881770-MLA112467813828_062026-F.webp</t>
        </is>
      </c>
      <c r="C207" t="inlineStr">
        <is>
          <t>P-promo</t>
        </is>
      </c>
      <c r="D207" t="b">
        <v>1</v>
      </c>
      <c r="E207" t="b">
        <v>0</v>
      </c>
      <c r="F207" t="inlineStr">
        <is>
          <t>none</t>
        </is>
      </c>
      <c r="G207" t="inlineStr"/>
      <c r="H207" t="inlineStr">
        <is>
          <t>low</t>
        </is>
      </c>
      <c r="I207" t="b">
        <v>0</v>
      </c>
      <c r="J207" t="b">
        <v>0</v>
      </c>
      <c r="K207" t="inlineStr"/>
      <c r="L207" t="inlineStr">
        <is>
          <t>BISTON,
DIF FULL 067 USO PROMOCIONAL PROHIBIDA SU VENTA
la pasión florece
cumbia
la rosa
La
Rosa
Más vivo que nunca
LAROSA
luna morena
TWO CENT</t>
        </is>
      </c>
      <c r="M207" t="inlineStr"/>
    </row>
    <row r="208">
      <c r="A208">
        <f>IMAGE("https://http2.mlstatic.com/D_NQ_NP_631302-MLC113359317985_062026-F.webp")</f>
        <v/>
      </c>
      <c r="B208" t="inlineStr">
        <is>
          <t>https://http2.mlstatic.com/D_NQ_NP_631302-MLC113359317985_062026-F.webp</t>
        </is>
      </c>
      <c r="C208" t="inlineStr">
        <is>
          <t>P-promo</t>
        </is>
      </c>
      <c r="D208" t="b">
        <v>1</v>
      </c>
      <c r="E208" t="b">
        <v>1</v>
      </c>
      <c r="F208" t="inlineStr">
        <is>
          <t>badge</t>
        </is>
      </c>
      <c r="G208" t="inlineStr">
        <is>
          <t>un sello con texto como 'Recomendado' o 'Hot Sale' dibujado sobre la imagen</t>
        </is>
      </c>
      <c r="H208" t="inlineStr">
        <is>
          <t>medium</t>
        </is>
      </c>
      <c r="I208" t="b">
        <v>1</v>
      </c>
      <c r="J208" t="b">
        <v>1</v>
      </c>
      <c r="K208" t="inlineStr"/>
      <c r="L208" t="inlineStr">
        <is>
          <t>ALBUM + (1 SOBRE GRATIS)
OFFICIAL STICKER
COLLECTION
G
FIFA
WORLD CUP
2026
STICKER ALBUM ÁLBUM DE CROMOS
ALBUM D'AUTOCOLLANTS
PANINI
FIFA
WORLD CUP
2026
4242405005</t>
        </is>
      </c>
      <c r="M208" t="inlineStr"/>
    </row>
    <row r="209">
      <c r="A209">
        <f>IMAGE("https://http2.mlstatic.com/D_NQ_NP_623195-MLC112213078620_062026-F.webp")</f>
        <v/>
      </c>
      <c r="B209" t="inlineStr">
        <is>
          <t>https://http2.mlstatic.com/D_NQ_NP_623195-MLC112213078620_062026-F.webp</t>
        </is>
      </c>
      <c r="C209" t="inlineStr">
        <is>
          <t>P-promo</t>
        </is>
      </c>
      <c r="D209" t="b">
        <v>1</v>
      </c>
      <c r="E209" t="b">
        <v>1</v>
      </c>
      <c r="F209" t="inlineStr">
        <is>
          <t>badge</t>
        </is>
      </c>
      <c r="G209" t="inlineStr">
        <is>
          <t>un sello con texto como 'Recomendado' o 'Hot Sale' dibujado sobre la imagen</t>
        </is>
      </c>
      <c r="H209" t="inlineStr">
        <is>
          <t>medium</t>
        </is>
      </c>
      <c r="I209" t="b">
        <v>1</v>
      </c>
      <c r="J209" t="b">
        <v>1</v>
      </c>
      <c r="K209" t="inlineStr"/>
      <c r="L209" t="inlineStr">
        <is>
          <t>ALBUM + (1 SOBRE GRATIS)
OFFICIAL STICKER
COLLECTION
G
FIFA
WORLD CUP
2026
STICKER ALBUM ÁLBUM DE CROMOS
ALBUM D'AUTOCOLLANTS
PANINI
FIFA
WORLD CUP
2026
4242405005</t>
        </is>
      </c>
      <c r="M209" t="inlineStr"/>
    </row>
    <row r="210">
      <c r="A210">
        <f>IMAGE("https://http2.mlstatic.com/D_NQ_NP_670946-MLC112470574298_062026-F.webp")</f>
        <v/>
      </c>
      <c r="B210" t="inlineStr">
        <is>
          <t>https://http2.mlstatic.com/D_NQ_NP_670946-MLC112470574298_062026-F.webp</t>
        </is>
      </c>
      <c r="C210" t="inlineStr">
        <is>
          <t>P-promo</t>
        </is>
      </c>
      <c r="D210" t="b">
        <v>1</v>
      </c>
      <c r="E210" t="b">
        <v>1</v>
      </c>
      <c r="F210" t="inlineStr">
        <is>
          <t>badge</t>
        </is>
      </c>
      <c r="G210" t="inlineStr">
        <is>
          <t>un sello con texto como 'Recomendado' en la imagen</t>
        </is>
      </c>
      <c r="H210" t="inlineStr">
        <is>
          <t>medium</t>
        </is>
      </c>
      <c r="I210" t="b">
        <v>0</v>
      </c>
      <c r="J210" t="b">
        <v>0</v>
      </c>
      <c r="K210" t="inlineStr"/>
      <c r="L210" t="inlineStr">
        <is>
          <t>P-61
KV
OFERTAS
DE VENTAS P
ROSSELOT
USADOS
RUSADOS
ROSSELOT</t>
        </is>
      </c>
      <c r="M210" t="inlineStr"/>
    </row>
    <row r="211">
      <c r="A211">
        <f>IMAGE("https://http2.mlstatic.com/D_NQ_NP_884354-MLB113572293481_062026-F.webp")</f>
        <v/>
      </c>
      <c r="B211" t="inlineStr">
        <is>
          <t>https://http2.mlstatic.com/D_NQ_NP_884354-MLB113572293481_062026-F.webp</t>
        </is>
      </c>
      <c r="C211" t="inlineStr">
        <is>
          <t>P-promo</t>
        </is>
      </c>
      <c r="D211" t="b">
        <v>1</v>
      </c>
      <c r="E211" t="b">
        <v>1</v>
      </c>
      <c r="F211" t="inlineStr">
        <is>
          <t>promo</t>
        </is>
      </c>
      <c r="G211" t="inlineStr">
        <is>
          <t>MEGA OFERTA por tempo limitado</t>
        </is>
      </c>
      <c r="H211" t="inlineStr">
        <is>
          <t>high</t>
        </is>
      </c>
      <c r="I211" t="b">
        <v>1</v>
      </c>
      <c r="J211" t="b">
        <v>1</v>
      </c>
      <c r="K211" t="inlineStr"/>
      <c r="L211" t="inlineStr">
        <is>
          <t>Jeep
minovos
ALLAHE
Localiza
seminovos
MEGA
OFERTA
por tempo
limitado</t>
        </is>
      </c>
      <c r="M211" t="inlineStr"/>
    </row>
    <row r="212">
      <c r="A212">
        <f>IMAGE("https://http2.mlstatic.com/D_NQ_NP_907374-MLA83531175868_042025-F.webp")</f>
        <v/>
      </c>
      <c r="B212" t="inlineStr">
        <is>
          <t>https://http2.mlstatic.com/D_NQ_NP_907374-MLA83531175868_042025-F.webp</t>
        </is>
      </c>
      <c r="C212" t="inlineStr">
        <is>
          <t>P-promo</t>
        </is>
      </c>
      <c r="D212" t="b">
        <v>1</v>
      </c>
      <c r="E212" t="b">
        <v>1</v>
      </c>
      <c r="F212" t="inlineStr">
        <is>
          <t>badge</t>
        </is>
      </c>
      <c r="G212" t="inlineStr">
        <is>
          <t>textos u objetos sobrepuestos concreto</t>
        </is>
      </c>
      <c r="H212" t="inlineStr">
        <is>
          <t>medium</t>
        </is>
      </c>
      <c r="I212" t="b">
        <v>0</v>
      </c>
      <c r="J212" t="b">
        <v>0</v>
      </c>
      <c r="K212" t="inlineStr"/>
      <c r="L212" t="inlineStr">
        <is>
          <t>GRANDES CLÁSSICOS
000
OBLOMOV
Ivan Goncharov
103
16
AUDIOLIVRO
GRÁTIS
OUÇA A HISTÓRIA
NO SEU SMARTPHONE
ABRA
E DESCUBRA
Ilustrado por
Helen Panayi
amora</t>
        </is>
      </c>
      <c r="M212" t="inlineStr"/>
    </row>
    <row r="213">
      <c r="A213">
        <f>IMAGE("https://http2.mlstatic.com/D_NQ_NP_673333-MLB112209087722_062026-F.webp")</f>
        <v/>
      </c>
      <c r="B213" t="inlineStr">
        <is>
          <t>https://http2.mlstatic.com/D_NQ_NP_673333-MLB112209087722_062026-F.webp</t>
        </is>
      </c>
      <c r="C213" t="inlineStr">
        <is>
          <t>P-promo</t>
        </is>
      </c>
      <c r="D213" t="b">
        <v>1</v>
      </c>
      <c r="E213" t="b">
        <v>1</v>
      </c>
      <c r="F213" t="inlineStr">
        <is>
          <t>promo</t>
        </is>
      </c>
      <c r="G213" t="inlineStr">
        <is>
          <t>MEGA OFERTA por tempo limitado</t>
        </is>
      </c>
      <c r="H213" t="inlineStr">
        <is>
          <t>high</t>
        </is>
      </c>
      <c r="I213" t="b">
        <v>1</v>
      </c>
      <c r="J213" t="b">
        <v>1</v>
      </c>
      <c r="K213" t="inlineStr"/>
      <c r="L213" t="inlineStr">
        <is>
          <t>unrors
Localiza
seminovos
MEGA
OFERTA
por tempo
limitado</t>
        </is>
      </c>
      <c r="M213" t="inlineStr"/>
    </row>
    <row r="214">
      <c r="A214">
        <f>IMAGE("https://http2.mlstatic.com/D_NQ_NP_945046-MLB112379401716_062026-F.webp")</f>
        <v/>
      </c>
      <c r="B214" t="inlineStr">
        <is>
          <t>https://http2.mlstatic.com/D_NQ_NP_945046-MLB112379401716_062026-F.webp</t>
        </is>
      </c>
      <c r="C214" t="inlineStr">
        <is>
          <t>P-promo</t>
        </is>
      </c>
      <c r="D214" t="b">
        <v>1</v>
      </c>
      <c r="E214" t="b">
        <v>0</v>
      </c>
      <c r="F214" t="inlineStr">
        <is>
          <t>none</t>
        </is>
      </c>
      <c r="G214" t="inlineStr"/>
      <c r="H214" t="inlineStr">
        <is>
          <t>low</t>
        </is>
      </c>
      <c r="I214" t="b">
        <v>0</v>
      </c>
      <c r="J214" t="b">
        <v>0</v>
      </c>
      <c r="K214" t="inlineStr"/>
      <c r="L214" t="inlineStr">
        <is>
          <t>Cent x
(14) V x
Sister x
Sister X
Data x
G tecla: X
Siste: X
(32) x
Siste: X
Nova x
G came x
+
CAIXA ABERTO
meusistema.tec.br/pdv?mode=selling
MEU SISTEMA
ESPERA
SAIR
☆
Q Produto, SKU ou código
VENDA
4 itens no cupom
CARREGADOR
2
3
AGUARDAR
LIMPAR
RECEBIMENTO
R$ 73,86
PRODUTO ATUAL
4.8A
CARREGADOR
C</t>
        </is>
      </c>
      <c r="M214" t="inlineStr"/>
    </row>
    <row r="215">
      <c r="A215">
        <f>IMAGE("https://http2.mlstatic.com/D_NQ_NP_746568-MLC112361406146_062026-F.webp")</f>
        <v/>
      </c>
      <c r="B215" t="inlineStr">
        <is>
          <t>https://http2.mlstatic.com/D_NQ_NP_746568-MLC112361406146_062026-F.webp</t>
        </is>
      </c>
      <c r="C215" t="inlineStr">
        <is>
          <t>P-promo</t>
        </is>
      </c>
      <c r="D215" t="b">
        <v>1</v>
      </c>
      <c r="E215" t="b">
        <v>1</v>
      </c>
      <c r="F215" t="inlineStr">
        <is>
          <t>badge</t>
        </is>
      </c>
      <c r="G215" t="inlineStr">
        <is>
          <t>GOAT 10</t>
        </is>
      </c>
      <c r="H215" t="inlineStr">
        <is>
          <t>medium</t>
        </is>
      </c>
      <c r="I215" t="b">
        <v>1</v>
      </c>
      <c r="J215" t="b">
        <v>1</v>
      </c>
      <c r="K215" t="inlineStr"/>
      <c r="L215" t="inlineStr">
        <is>
          <t>OFFICIAL STICKER COLLECTION
GOAT 10-
FIFA
WORLD CUP
2026
VISA
&amp; 101
24 06 1987 1.70
728
GRATIS!
FIFA
WORLD CUP
2026
FARINT</t>
        </is>
      </c>
      <c r="M215" t="inlineStr"/>
    </row>
    <row r="216">
      <c r="A216">
        <f>IMAGE("https://http2.mlstatic.com/D_NQ_NP_878813-MLC113359341451_062026-F.webp")</f>
        <v/>
      </c>
      <c r="B216" t="inlineStr">
        <is>
          <t>https://http2.mlstatic.com/D_NQ_NP_878813-MLC113359341451_062026-F.webp</t>
        </is>
      </c>
      <c r="C216" t="inlineStr">
        <is>
          <t>P-promo</t>
        </is>
      </c>
      <c r="D216" t="b">
        <v>1</v>
      </c>
      <c r="E216" t="b">
        <v>1</v>
      </c>
      <c r="F216" t="inlineStr">
        <is>
          <t>badge</t>
        </is>
      </c>
      <c r="G216" t="inlineStr">
        <is>
          <t>un sello con texto como 'Recomendado' o 'Hot Sale' dibujado sobre la imagen</t>
        </is>
      </c>
      <c r="H216" t="inlineStr">
        <is>
          <t>medium</t>
        </is>
      </c>
      <c r="I216" t="b">
        <v>1</v>
      </c>
      <c r="J216" t="b">
        <v>1</v>
      </c>
      <c r="K216" t="inlineStr"/>
      <c r="L216" t="inlineStr">
        <is>
          <t>ALBUM + (1 SOBRE GRATIS)
OFFICIAL STICKER
COLLECTION
G
FIFA
WORLD CUP
2026
STICKER ALBUM ÁLBUM DE CROMOS
ALBUM D'AUTOCOLLANTS
PANINI
FIFA
WORLD CUP
2026
4242405005</t>
        </is>
      </c>
      <c r="M216" t="inlineStr"/>
    </row>
    <row r="217">
      <c r="A217">
        <f>IMAGE("https://http2.mlstatic.com/D_NQ_NP_791695-MLM112413357655_052026-F.webp")</f>
        <v/>
      </c>
      <c r="B217" t="inlineStr">
        <is>
          <t>https://http2.mlstatic.com/D_NQ_NP_791695-MLM112413357655_052026-F.webp</t>
        </is>
      </c>
      <c r="C217" t="inlineStr">
        <is>
          <t>P-promo</t>
        </is>
      </c>
      <c r="D217" t="b">
        <v>1</v>
      </c>
      <c r="E217" t="b">
        <v>0</v>
      </c>
      <c r="F217" t="inlineStr">
        <is>
          <t>none</t>
        </is>
      </c>
      <c r="G217" t="inlineStr">
        <is>
          <t>text overlay on the product image</t>
        </is>
      </c>
      <c r="H217" t="inlineStr">
        <is>
          <t>high</t>
        </is>
      </c>
      <c r="I217" t="b">
        <v>0</v>
      </c>
      <c r="J217" t="b">
        <v>0</v>
      </c>
      <c r="K217" t="inlineStr"/>
      <c r="L217" t="inlineStr">
        <is>
          <t>Lectura gratis en la nube
y acceso a textos legales actualizados
Código Civil para la
Ciudad de México
Código Nacional de Procedimientos
Civiles y Familiares
Normatividad complementaria
7ª Edición
Miguel Carbonell
tirant
to blanch
IL
Textos Legales</t>
        </is>
      </c>
      <c r="M217" t="inlineStr"/>
    </row>
    <row r="218">
      <c r="A218">
        <f>IMAGE("https://http2.mlstatic.com/D_NQ_NP_806928-MLC113359329451_062026-F.webp")</f>
        <v/>
      </c>
      <c r="B218" t="inlineStr">
        <is>
          <t>https://http2.mlstatic.com/D_NQ_NP_806928-MLC113359329451_062026-F.webp</t>
        </is>
      </c>
      <c r="C218" t="inlineStr">
        <is>
          <t>P-promo</t>
        </is>
      </c>
      <c r="D218" t="b">
        <v>1</v>
      </c>
      <c r="E218" t="b">
        <v>1</v>
      </c>
      <c r="F218" t="inlineStr">
        <is>
          <t>badge</t>
        </is>
      </c>
      <c r="G218" t="inlineStr">
        <is>
          <t>un sello con texto como 'Recomendado' o 'Hot Sale' dibujado sobre la imagen</t>
        </is>
      </c>
      <c r="H218" t="inlineStr">
        <is>
          <t>medium</t>
        </is>
      </c>
      <c r="I218" t="b">
        <v>1</v>
      </c>
      <c r="J218" t="b">
        <v>1</v>
      </c>
      <c r="K218" t="inlineStr"/>
      <c r="L218" t="inlineStr">
        <is>
          <t>ALBUM + (1 SOBRE GRATIS)
OFFICIAL STICKER
COLLECTION
G
FIFA
WORLD CUP
2026
STICKER ALBUM ÁLBUM DE CROMOS
ALBUM D'AUTOCOLLANTS
PANINI
FIFA
WORLD CUP
2026
4242405005</t>
        </is>
      </c>
      <c r="M218" t="inlineStr"/>
    </row>
    <row r="219">
      <c r="A219">
        <f>IMAGE("https://http2.mlstatic.com/D_NQ_NP_953114-MLB113447314681_062026-F.webp")</f>
        <v/>
      </c>
      <c r="B219" t="inlineStr">
        <is>
          <t>https://http2.mlstatic.com/D_NQ_NP_953114-MLB113447314681_062026-F.webp</t>
        </is>
      </c>
      <c r="C219" t="inlineStr">
        <is>
          <t>P-promo</t>
        </is>
      </c>
      <c r="D219" t="b">
        <v>1</v>
      </c>
      <c r="E219" t="b">
        <v>1</v>
      </c>
      <c r="F219" t="inlineStr">
        <is>
          <t>promo</t>
        </is>
      </c>
      <c r="G219" t="inlineStr">
        <is>
          <t>PROMOÇÃO</t>
        </is>
      </c>
      <c r="H219" t="inlineStr">
        <is>
          <t>high</t>
        </is>
      </c>
      <c r="I219" t="b">
        <v>1</v>
      </c>
      <c r="J219" t="b">
        <v>1</v>
      </c>
      <c r="K219" t="inlineStr"/>
      <c r="L219" t="inlineStr">
        <is>
          <t>PROMOÇÃO
ISQUEIROS
OFERTAS
ESPECIAIS</t>
        </is>
      </c>
      <c r="M219" t="inlineStr"/>
    </row>
    <row r="220">
      <c r="A220">
        <f>IMAGE("https://http2.mlstatic.com/D_NQ_NP_628301-MLB113660376117_062026-F.webp")</f>
        <v/>
      </c>
      <c r="B220" t="inlineStr">
        <is>
          <t>https://http2.mlstatic.com/D_NQ_NP_628301-MLB113660376117_062026-F.webp</t>
        </is>
      </c>
      <c r="C220" t="inlineStr">
        <is>
          <t>P-promo</t>
        </is>
      </c>
      <c r="D220" t="b">
        <v>1</v>
      </c>
      <c r="E220" t="b">
        <v>1</v>
      </c>
      <c r="F220" t="inlineStr">
        <is>
          <t>promo</t>
        </is>
      </c>
      <c r="G220" t="inlineStr">
        <is>
          <t>12 CORES colores</t>
        </is>
      </c>
      <c r="H220" t="inlineStr">
        <is>
          <t>high</t>
        </is>
      </c>
      <c r="I220" t="b">
        <v>0</v>
      </c>
      <c r="J220" t="b">
        <v>0</v>
      </c>
      <c r="K220" t="inlineStr"/>
      <c r="L220" t="inlineStr">
        <is>
          <t>12
CORES
colores
colors
COMPACTOR
Neo-Pen
LÁPIS DE COR
LÁPICES DE COLORES
COLORED PENCILS
12
CORES
colores
colors
1 Lápis
HB N°2
GRÁTIS
1 apontador</t>
        </is>
      </c>
      <c r="M220" t="inlineStr"/>
    </row>
    <row r="221">
      <c r="A221">
        <f>IMAGE("https://http2.mlstatic.com/D_NQ_NP_761498-MLC113477659041_062026-F.webp")</f>
        <v/>
      </c>
      <c r="B221" t="inlineStr">
        <is>
          <t>https://http2.mlstatic.com/D_NQ_NP_761498-MLC113477659041_062026-F.webp</t>
        </is>
      </c>
      <c r="C221" t="inlineStr">
        <is>
          <t>P-promo</t>
        </is>
      </c>
      <c r="D221" t="b">
        <v>1</v>
      </c>
      <c r="E221" t="b">
        <v>1</v>
      </c>
      <c r="F221" t="inlineStr">
        <is>
          <t>badge</t>
        </is>
      </c>
      <c r="G221" t="inlineStr">
        <is>
          <t>text overlay with 'GOAT 10' and 'Free!'</t>
        </is>
      </c>
      <c r="H221" t="inlineStr">
        <is>
          <t>high</t>
        </is>
      </c>
      <c r="I221" t="b">
        <v>1</v>
      </c>
      <c r="J221" t="b">
        <v>1</v>
      </c>
      <c r="K221" t="inlineStr"/>
      <c r="L221" t="inlineStr">
        <is>
          <t>Combo Imperdible
(1) Album Tapa Blanda
+1 Sobre de Barajitas
+ Portaretrato y Foto Del
numero 1 del mundo
OFFICIAL STICKER COLLECTION
GOAT 10
FIFA
WORLD CUP
2026
VISA
A
210
GRATIS
773
2026</t>
        </is>
      </c>
      <c r="M221" t="inlineStr"/>
    </row>
    <row r="222">
      <c r="A222">
        <f>IMAGE("https://http2.mlstatic.com/D_NQ_NP_917248-MLB112300852526_062026-F.webp")</f>
        <v/>
      </c>
      <c r="B222" t="inlineStr">
        <is>
          <t>https://http2.mlstatic.com/D_NQ_NP_917248-MLB112300852526_062026-F.webp</t>
        </is>
      </c>
      <c r="C222" t="inlineStr">
        <is>
          <t>P-promo</t>
        </is>
      </c>
      <c r="D222" t="b">
        <v>1</v>
      </c>
      <c r="E222" t="b">
        <v>0</v>
      </c>
      <c r="F222" t="inlineStr">
        <is>
          <t>none</t>
        </is>
      </c>
      <c r="G222" t="inlineStr"/>
      <c r="H222" t="inlineStr">
        <is>
          <t>low</t>
        </is>
      </c>
      <c r="I222" t="b">
        <v>0</v>
      </c>
      <c r="J222" t="b">
        <v>0</v>
      </c>
      <c r="K222" t="inlineStr"/>
      <c r="L222" t="inlineStr">
        <is>
          <t>TARMOC
OFFICIAL STORE
MEDIA CONVERTER SWITCH
1GBIT
PER SECOND
8KV
Protection
4SFP
IN
POE IN
9-57V
OUT
POE OUT
9-57V
100%
ORIGINAL
TARMOC
TMC-4540
5492
SFP 3
SFP 4
TMC-4S4G-P-V1-IO
168IT
TARMOC OFFICIAL STORE
SFP
SKV
-
POEN
9-57V
POR OUT
9-57V</t>
        </is>
      </c>
      <c r="M222" t="inlineStr"/>
    </row>
    <row r="223">
      <c r="A223">
        <f>IMAGE("https://http2.mlstatic.com/D_NQ_NP_921223-MLB109046721480_032026-F.webp")</f>
        <v/>
      </c>
      <c r="B223" t="inlineStr">
        <is>
          <t>https://http2.mlstatic.com/D_NQ_NP_921223-MLB109046721480_032026-F.webp</t>
        </is>
      </c>
      <c r="C223" t="inlineStr">
        <is>
          <t>P-promo</t>
        </is>
      </c>
      <c r="D223" t="b">
        <v>1</v>
      </c>
      <c r="E223" t="b">
        <v>0</v>
      </c>
      <c r="F223" t="inlineStr">
        <is>
          <t>none</t>
        </is>
      </c>
      <c r="G223" t="inlineStr"/>
      <c r="H223" t="inlineStr">
        <is>
          <t>low</t>
        </is>
      </c>
      <c r="I223" t="b">
        <v>0</v>
      </c>
      <c r="J223" t="b">
        <v>0</v>
      </c>
      <c r="K223" t="inlineStr"/>
      <c r="L223" t="inlineStr">
        <is>
          <t>Suporte
Soporte
GRÁTIS
INCLUYE
FREE
Suporte plástico para armazenar e
organizar suas chaves.
Soporte plástico para almacenar
y organizar las llaves.
Plastic hanger to store and
organize the wrenches.
TRAMONTINA
MASTER
Jogo de Chaves Combinadas
Juego Llaves Combinadas I Combination Wrench Set
(8P
pza</t>
        </is>
      </c>
      <c r="M223" t="inlineStr"/>
    </row>
    <row r="224">
      <c r="A224">
        <f>IMAGE("https://http2.mlstatic.com/D_NQ_NP_876847-MLC113477651747_062026-F.webp")</f>
        <v/>
      </c>
      <c r="B224" t="inlineStr">
        <is>
          <t>https://http2.mlstatic.com/D_NQ_NP_876847-MLC113477651747_062026-F.webp</t>
        </is>
      </c>
      <c r="C224" t="inlineStr">
        <is>
          <t>P-promo</t>
        </is>
      </c>
      <c r="D224" t="b">
        <v>1</v>
      </c>
      <c r="E224" t="b">
        <v>1</v>
      </c>
      <c r="F224" t="inlineStr">
        <is>
          <t>badge</t>
        </is>
      </c>
      <c r="G224" t="inlineStr">
        <is>
          <t>text overlay with 'GOAT 10' and 'Free!'</t>
        </is>
      </c>
      <c r="H224" t="inlineStr">
        <is>
          <t>high</t>
        </is>
      </c>
      <c r="I224" t="b">
        <v>1</v>
      </c>
      <c r="J224" t="b">
        <v>1</v>
      </c>
      <c r="K224" t="inlineStr"/>
      <c r="L224" t="inlineStr">
        <is>
          <t>Combo Imperdible
(1) Album Tapa Blanda
+1 Sobre de Barajitas
+ Portaretrato y Foto Del
numero 1 del mundo
OFFICIAL STICKER COLLECTION
GOAT 10
FIFA
WORLD CUP
2026
VISA
A
210
GRATIS
773
2026</t>
        </is>
      </c>
      <c r="M224" t="inlineStr"/>
    </row>
    <row r="225">
      <c r="A225">
        <f>IMAGE("https://http2.mlstatic.com/D_NQ_NP_666936-MLC113359390433_062026-F.webp")</f>
        <v/>
      </c>
      <c r="B225" t="inlineStr">
        <is>
          <t>https://http2.mlstatic.com/D_NQ_NP_666936-MLC113359390433_062026-F.webp</t>
        </is>
      </c>
      <c r="C225" t="inlineStr">
        <is>
          <t>P-promo</t>
        </is>
      </c>
      <c r="D225" t="b">
        <v>1</v>
      </c>
      <c r="E225" t="b">
        <v>1</v>
      </c>
      <c r="F225" t="inlineStr">
        <is>
          <t>badge</t>
        </is>
      </c>
      <c r="G225" t="inlineStr">
        <is>
          <t>un sello con texto como 'Recomendado' o 'Hot Sale' dibujado sobre la imagen</t>
        </is>
      </c>
      <c r="H225" t="inlineStr">
        <is>
          <t>medium</t>
        </is>
      </c>
      <c r="I225" t="b">
        <v>1</v>
      </c>
      <c r="J225" t="b">
        <v>1</v>
      </c>
      <c r="K225" t="inlineStr"/>
      <c r="L225" t="inlineStr">
        <is>
          <t>ALBUM + (1 SOBRE GRATIS)
OFFICIAL STICKER
COLLECTION
G
FIFA
WORLD CUP
2026
STICKER ALBUM ÁLBUM DE CROMOS
ALBUM D'AUTOCOLLANTS
PANINI
FIFA
WORLD CUP
2026
4242405005</t>
        </is>
      </c>
      <c r="M225" t="inlineStr"/>
    </row>
    <row r="226">
      <c r="A226">
        <f>IMAGE("https://http2.mlstatic.com/D_NQ_NP_786940-MLB112859260447_062026-F.webp")</f>
        <v/>
      </c>
      <c r="B226" t="inlineStr">
        <is>
          <t>https://http2.mlstatic.com/D_NQ_NP_786940-MLB112859260447_062026-F.webp</t>
        </is>
      </c>
      <c r="C226" t="inlineStr">
        <is>
          <t>P-promo</t>
        </is>
      </c>
      <c r="D226" t="b">
        <v>1</v>
      </c>
      <c r="E226" t="b">
        <v>1</v>
      </c>
      <c r="F226" t="inlineStr">
        <is>
          <t>badge</t>
        </is>
      </c>
      <c r="G226" t="inlineStr">
        <is>
          <t>ULTRA SEGURO</t>
        </is>
      </c>
      <c r="H226" t="inlineStr">
        <is>
          <t>high</t>
        </is>
      </c>
      <c r="I226" t="b">
        <v>1</v>
      </c>
      <c r="J226" t="b">
        <v>1</v>
      </c>
      <c r="K226" t="inlineStr"/>
      <c r="L226" t="inlineStr">
        <is>
          <t>VaultProtect Noir™M
Segurança absoluta sem falhas
Produto Exclusivo
Produto diferente
de tudo que vocě já viu
5 6
89
E
ULTRA
SEGURO
Clientes estão
amando ✰✰✰✰
Mais vendidos
do ano✰
Produto mais bem
avaliado da categoria
O MAIS VENDIDO EM 2026</t>
        </is>
      </c>
      <c r="M226" t="inlineStr"/>
    </row>
    <row r="227">
      <c r="A227">
        <f>IMAGE("https://http2.mlstatic.com/D_NQ_NP_966793-MLA84115648429_042025-F.webp")</f>
        <v/>
      </c>
      <c r="B227" t="inlineStr">
        <is>
          <t>https://http2.mlstatic.com/D_NQ_NP_966793-MLA84115648429_042025-F.webp</t>
        </is>
      </c>
      <c r="C227" t="inlineStr">
        <is>
          <t>P-promo</t>
        </is>
      </c>
      <c r="D227" t="b">
        <v>1</v>
      </c>
      <c r="E227" t="b">
        <v>1</v>
      </c>
      <c r="F227" t="inlineStr">
        <is>
          <t>badge</t>
        </is>
      </c>
      <c r="G227" t="inlineStr">
        <is>
          <t>un sello que imita una etiqueta oficial de MercadoLibre</t>
        </is>
      </c>
      <c r="H227" t="inlineStr">
        <is>
          <t>medium</t>
        </is>
      </c>
      <c r="I227" t="b">
        <v>0</v>
      </c>
      <c r="J227" t="b">
        <v>0</v>
      </c>
      <c r="K227" t="inlineStr"/>
      <c r="L227" t="inlineStr">
        <is>
          <t>GRÁTIS
1CANETA
CUTE &amp; COMFY
MOMENTOS PARA SER FELIZ
Super Special
LIVRO DE COLORIR PARA ADULTOS</t>
        </is>
      </c>
      <c r="M227" t="inlineStr"/>
    </row>
    <row r="228">
      <c r="A228">
        <f>IMAGE("https://http2.mlstatic.com/D_NQ_NP_770099-MLA99425626832_112025-F.webp")</f>
        <v/>
      </c>
      <c r="B228" t="inlineStr">
        <is>
          <t>https://http2.mlstatic.com/D_NQ_NP_770099-MLA99425626832_112025-F.webp</t>
        </is>
      </c>
      <c r="C228" t="inlineStr">
        <is>
          <t>P-promo</t>
        </is>
      </c>
      <c r="D228" t="b">
        <v>1</v>
      </c>
      <c r="E228" t="b">
        <v>1</v>
      </c>
      <c r="F228" t="inlineStr">
        <is>
          <t>promo</t>
        </is>
      </c>
      <c r="G228" t="inlineStr">
        <is>
          <t>10% DE DESCONTO</t>
        </is>
      </c>
      <c r="H228" t="inlineStr">
        <is>
          <t>high</t>
        </is>
      </c>
      <c r="I228" t="b">
        <v>0</v>
      </c>
      <c r="J228" t="b">
        <v>0</v>
      </c>
      <c r="K228" t="inlineStr"/>
      <c r="L228" t="inlineStr">
        <is>
          <t>10% DE DESCONTO
UAU
LAVANDA
EROSAS
DESINFETANTE
ANTIBAC
99,9% DE EFICIÊNCIA
MATA
BACTERIAS
GERMES
TECNE PERFUME
POR MAIS TEMPL
2L
PELO PRE</t>
        </is>
      </c>
      <c r="M228" t="inlineStr"/>
    </row>
    <row r="229">
      <c r="A229">
        <f>IMAGE("https://http2.mlstatic.com/D_NQ_NP_689411-MLA112306289628_062026-F.webp")</f>
        <v/>
      </c>
      <c r="B229" t="inlineStr">
        <is>
          <t>https://http2.mlstatic.com/D_NQ_NP_689411-MLA112306289628_062026-F.webp</t>
        </is>
      </c>
      <c r="C229" t="inlineStr">
        <is>
          <t>P-promo</t>
        </is>
      </c>
      <c r="D229" t="b">
        <v>1</v>
      </c>
      <c r="E229" t="b">
        <v>1</v>
      </c>
      <c r="F229" t="inlineStr">
        <is>
          <t>promo</t>
        </is>
      </c>
      <c r="G229" t="inlineStr">
        <is>
          <t>AHORA, LIQUIDACION</t>
        </is>
      </c>
      <c r="H229" t="inlineStr">
        <is>
          <t>high</t>
        </is>
      </c>
      <c r="I229" t="b">
        <v>0</v>
      </c>
      <c r="J229" t="b">
        <v>0</v>
      </c>
      <c r="K229" t="inlineStr"/>
      <c r="L229" t="inlineStr">
        <is>
          <t>HUM®
AHORA.LIQUIDACION
Oferta de saldos: palomitas,
banderas, medallones,
posters y toda la producción
Juan Pablo 2a. mano
VDO. PAPAMOVIL 87,.
blanco pureza, impecable,
como nuev.,
joya, poc.kms.,
freno y alarma,¡ver hoy!
ALDERETE se llamaba Bagnulo
Cambió su apellido para evitar cargadas
Box: Ray "</t>
        </is>
      </c>
      <c r="M229" t="inlineStr"/>
    </row>
    <row r="230">
      <c r="A230">
        <f>IMAGE("https://http2.mlstatic.com/D_NQ_NP_718113-MLM112375106620_062026-F.webp")</f>
        <v/>
      </c>
      <c r="B230" t="inlineStr">
        <is>
          <t>https://http2.mlstatic.com/D_NQ_NP_718113-MLM112375106620_062026-F.webp</t>
        </is>
      </c>
      <c r="C230" t="inlineStr">
        <is>
          <t>P-promo</t>
        </is>
      </c>
      <c r="D230" t="b">
        <v>1</v>
      </c>
      <c r="E230" t="b">
        <v>0</v>
      </c>
      <c r="F230" t="inlineStr">
        <is>
          <t>none</t>
        </is>
      </c>
      <c r="G230" t="inlineStr"/>
      <c r="H230" t="inlineStr">
        <is>
          <t>low</t>
        </is>
      </c>
      <c r="I230" t="b">
        <v>1</v>
      </c>
      <c r="J230" t="b">
        <v>1</v>
      </c>
      <c r="K230" t="inlineStr"/>
      <c r="L230" t="inlineStr">
        <is>
          <t>da GRATIS
6:33
shasa
ill 72
Envío GRATIS en pedidos mayores
POCAS PIEZAS
Pantalon recto sastreado con
cinturon
$849.00 Impuesto incluido.
CH
M
G
XG
GUÍA DE TALLAS</t>
        </is>
      </c>
      <c r="M230" t="inlineStr"/>
    </row>
    <row r="231">
      <c r="A231">
        <f>IMAGE("https://http2.mlstatic.com/D_NQ_NP_926996-MLC112362141748_062026-F.webp")</f>
        <v/>
      </c>
      <c r="B231" t="inlineStr">
        <is>
          <t>https://http2.mlstatic.com/D_NQ_NP_926996-MLC112362141748_062026-F.webp</t>
        </is>
      </c>
      <c r="C231" t="inlineStr">
        <is>
          <t>P-promo</t>
        </is>
      </c>
      <c r="D231" t="b">
        <v>1</v>
      </c>
      <c r="E231" t="b">
        <v>1</v>
      </c>
      <c r="F231" t="inlineStr">
        <is>
          <t>badge</t>
        </is>
      </c>
      <c r="G231" t="inlineStr">
        <is>
          <t>GOAT 10</t>
        </is>
      </c>
      <c r="H231" t="inlineStr">
        <is>
          <t>medium</t>
        </is>
      </c>
      <c r="I231" t="b">
        <v>1</v>
      </c>
      <c r="J231" t="b">
        <v>1</v>
      </c>
      <c r="K231" t="inlineStr"/>
      <c r="L231" t="inlineStr">
        <is>
          <t>OFFICIAL STICKER COLLECTION
GOAT 10-
FIFA
WORLD CUP
2026
VISA
&amp; 101
24 06 1987 1.70
728
GRATIS!
FIFA
WORLD CUP
2026
FARINT</t>
        </is>
      </c>
      <c r="M231" t="inlineStr"/>
    </row>
    <row r="232">
      <c r="A232">
        <f>IMAGE("https://http2.mlstatic.com/D_NQ_NP_996344-MLB113486026777_062026-F.webp")</f>
        <v/>
      </c>
      <c r="B232" t="inlineStr">
        <is>
          <t>https://http2.mlstatic.com/D_NQ_NP_996344-MLB113486026777_062026-F.webp</t>
        </is>
      </c>
      <c r="C232" t="inlineStr">
        <is>
          <t>P-promo</t>
        </is>
      </c>
      <c r="D232" t="b">
        <v>1</v>
      </c>
      <c r="E232" t="b">
        <v>1</v>
      </c>
      <c r="F232" t="inlineStr">
        <is>
          <t>badge</t>
        </is>
      </c>
      <c r="G232" t="inlineStr">
        <is>
          <t>Mas vendido</t>
        </is>
      </c>
      <c r="H232" t="inlineStr">
        <is>
          <t>high</t>
        </is>
      </c>
      <c r="I232" t="b">
        <v>1</v>
      </c>
      <c r="J232" t="b">
        <v>1</v>
      </c>
      <c r="K232" t="inlineStr"/>
      <c r="L232" t="inlineStr">
        <is>
          <t>21:27 Uber
•
Início
Judite
2 fotos
5626
Categorias
Carrinho
Vídeos
Mais
|||
Air Plus
AIR plus
Ddellamed
dellamed
21:07
1/12
MAIS VENDIDO 3° em Colchões Anti
Colchão Pneumático Anti
Escaras Airplus Dellamed
Com Motor
4.9 +10 mil vendidos
|||
&lt;
...
21:07</t>
        </is>
      </c>
      <c r="M232" t="inlineStr"/>
    </row>
    <row r="233">
      <c r="A233">
        <f>IMAGE("https://http2.mlstatic.com/D_NQ_NP_961534-MLC113477657505_062026-F.webp")</f>
        <v/>
      </c>
      <c r="B233" t="inlineStr">
        <is>
          <t>https://http2.mlstatic.com/D_NQ_NP_961534-MLC113477657505_062026-F.webp</t>
        </is>
      </c>
      <c r="C233" t="inlineStr">
        <is>
          <t>P-promo</t>
        </is>
      </c>
      <c r="D233" t="b">
        <v>1</v>
      </c>
      <c r="E233" t="b">
        <v>1</v>
      </c>
      <c r="F233" t="inlineStr">
        <is>
          <t>badge</t>
        </is>
      </c>
      <c r="G233" t="inlineStr">
        <is>
          <t>text overlay with 'GOAT 10' and 'Free!'</t>
        </is>
      </c>
      <c r="H233" t="inlineStr">
        <is>
          <t>high</t>
        </is>
      </c>
      <c r="I233" t="b">
        <v>1</v>
      </c>
      <c r="J233" t="b">
        <v>1</v>
      </c>
      <c r="K233" t="inlineStr"/>
      <c r="L233" t="inlineStr">
        <is>
          <t>Combo Imperdible
(1) Album Tapa Blanda
+1 Sobre de Barajitas
+ Portaretrato y Foto Del
numero 1 del mundo
OFFICIAL STICKER COLLECTION
GOAT 10
FIFA
WORLD CUP
2026
VISA
A
210
GRATIS
773
2026</t>
        </is>
      </c>
      <c r="M233" t="inlineStr"/>
    </row>
    <row r="234">
      <c r="A234">
        <f>IMAGE("https://http2.mlstatic.com/D_NQ_NP_770518-MLA112266256344_062026-F.webp")</f>
        <v/>
      </c>
      <c r="B234" t="inlineStr">
        <is>
          <t>https://http2.mlstatic.com/D_NQ_NP_770518-MLA112266256344_062026-F.webp</t>
        </is>
      </c>
      <c r="C234" t="inlineStr">
        <is>
          <t>P-promo</t>
        </is>
      </c>
      <c r="D234" t="b">
        <v>1</v>
      </c>
      <c r="E234" t="b">
        <v>1</v>
      </c>
      <c r="F234" t="inlineStr">
        <is>
          <t>promo</t>
        </is>
      </c>
      <c r="G234" t="inlineStr">
        <is>
          <t>textos u objetos sobrepuestos concreto</t>
        </is>
      </c>
      <c r="H234" t="inlineStr">
        <is>
          <t>high</t>
        </is>
      </c>
      <c r="I234" t="b">
        <v>1</v>
      </c>
      <c r="J234" t="b">
        <v>1</v>
      </c>
      <c r="K234" t="inlineStr"/>
      <c r="L234" t="inlineStr">
        <is>
          <t>[IR]]
CUCICBA Matrícula 79 COLEGIO PROFESIONAL INMOBILIARIO
Inmobiliaria
53
RICARDI HOFORK
Aniversario
1972-2025
4671-7911
4671-28041168600008
info@inmobiliariaricardi.com.ar
CORRO 392 Villa Luro
Atención telefónica y digital 365 días del año incluso sábados, domingos y feriados. Horario comercial 1</t>
        </is>
      </c>
      <c r="M234" t="inlineStr"/>
    </row>
    <row r="235">
      <c r="A235">
        <f>IMAGE("https://http2.mlstatic.com/D_NQ_NP_861993-MLA113314714353_062026-F.webp")</f>
        <v/>
      </c>
      <c r="B235" t="inlineStr">
        <is>
          <t>https://http2.mlstatic.com/D_NQ_NP_861993-MLA113314714353_062026-F.webp</t>
        </is>
      </c>
      <c r="C235" t="inlineStr">
        <is>
          <t>P-promo</t>
        </is>
      </c>
      <c r="D235" t="b">
        <v>1</v>
      </c>
      <c r="E235" t="b">
        <v>0</v>
      </c>
      <c r="F235" t="inlineStr">
        <is>
          <t>none</t>
        </is>
      </c>
      <c r="G235" t="inlineStr">
        <is>
          <t>text overlay on the product image</t>
        </is>
      </c>
      <c r="H235" t="inlineStr">
        <is>
          <t>medium</t>
        </is>
      </c>
      <c r="I235" t="b">
        <v>0</v>
      </c>
      <c r="J235" t="b">
        <v>0</v>
      </c>
      <c r="K235" t="inlineStr"/>
      <c r="L235" t="inlineStr">
        <is>
          <t>USERS
*****
RESPONSIVE
DESIGN PARA
DIVERSOS
EQUIPOS
SITIOS
MULTIPLATAFORMA
CON HTML5 CSS3
SITIOS MULTIPLATAFORMA CON HTML5 + CSS3
VERSIÓN DIGITAL
GRATIS
NUEVAS ETIQUETAS YAPIS
JAVASCRIPT PARA HTML5
FORMULARIOS AVANZADOS
RESPONSIVE WEB DESIGN
MEDIA QUERIES
INTRODUCCIÓN A JQUERY
Y MODERNIZR
por EUGENI</t>
        </is>
      </c>
      <c r="M235" t="inlineStr"/>
    </row>
    <row r="236">
      <c r="A236">
        <f>IMAGE("https://http2.mlstatic.com/D_NQ_NP_603891-MLC112361372542_062026-F.webp")</f>
        <v/>
      </c>
      <c r="B236" t="inlineStr">
        <is>
          <t>https://http2.mlstatic.com/D_NQ_NP_603891-MLC112361372542_062026-F.webp</t>
        </is>
      </c>
      <c r="C236" t="inlineStr">
        <is>
          <t>P-promo</t>
        </is>
      </c>
      <c r="D236" t="b">
        <v>1</v>
      </c>
      <c r="E236" t="b">
        <v>1</v>
      </c>
      <c r="F236" t="inlineStr">
        <is>
          <t>badge</t>
        </is>
      </c>
      <c r="G236" t="inlineStr">
        <is>
          <t>GOAT 10</t>
        </is>
      </c>
      <c r="H236" t="inlineStr">
        <is>
          <t>medium</t>
        </is>
      </c>
      <c r="I236" t="b">
        <v>1</v>
      </c>
      <c r="J236" t="b">
        <v>1</v>
      </c>
      <c r="K236" t="inlineStr"/>
      <c r="L236" t="inlineStr">
        <is>
          <t>OFFICIAL STICKER COLLECTION
GOAT 10-
FIFA
WORLD CUP
2026
VISA
&amp; 101
24 06 1987 1.70
728
GRATIS!
FIFA
WORLD CUP
2026
FARINT</t>
        </is>
      </c>
      <c r="M236" t="inlineStr"/>
    </row>
    <row r="237">
      <c r="A237">
        <f>IMAGE("https://http2.mlstatic.com/D_NQ_NP_835153-MLB113619643901_062026-F.webp")</f>
        <v/>
      </c>
      <c r="B237" t="inlineStr">
        <is>
          <t>https://http2.mlstatic.com/D_NQ_NP_835153-MLB113619643901_062026-F.webp</t>
        </is>
      </c>
      <c r="C237" t="inlineStr">
        <is>
          <t>P-promo</t>
        </is>
      </c>
      <c r="D237" t="b">
        <v>1</v>
      </c>
      <c r="E237" t="b">
        <v>0</v>
      </c>
      <c r="F237" t="inlineStr">
        <is>
          <t>none</t>
        </is>
      </c>
      <c r="G237" t="inlineStr"/>
      <c r="H237" t="inlineStr">
        <is>
          <t>low</t>
        </is>
      </c>
      <c r="I237" t="b">
        <v>0</v>
      </c>
      <c r="J237" t="b">
        <v>0</v>
      </c>
      <c r="K237" t="inlineStr"/>
      <c r="L237" t="inlineStr">
        <is>
          <t>AMEOFERTAS
VEOFERTAS
AMEOFERTAS</t>
        </is>
      </c>
      <c r="M237" t="inlineStr"/>
    </row>
    <row r="238">
      <c r="A238">
        <f>IMAGE("https://http2.mlstatic.com/D_NQ_NP_973582-MLC113359332121_062026-F.webp")</f>
        <v/>
      </c>
      <c r="B238" t="inlineStr">
        <is>
          <t>https://http2.mlstatic.com/D_NQ_NP_973582-MLC113359332121_062026-F.webp</t>
        </is>
      </c>
      <c r="C238" t="inlineStr">
        <is>
          <t>P-promo</t>
        </is>
      </c>
      <c r="D238" t="b">
        <v>1</v>
      </c>
      <c r="E238" t="b">
        <v>1</v>
      </c>
      <c r="F238" t="inlineStr">
        <is>
          <t>badge</t>
        </is>
      </c>
      <c r="G238" t="inlineStr">
        <is>
          <t>un sello con texto como 'Recomendado' o 'Hot Sale' dibujado sobre la imagen</t>
        </is>
      </c>
      <c r="H238" t="inlineStr">
        <is>
          <t>medium</t>
        </is>
      </c>
      <c r="I238" t="b">
        <v>1</v>
      </c>
      <c r="J238" t="b">
        <v>1</v>
      </c>
      <c r="K238" t="inlineStr"/>
      <c r="L238" t="inlineStr">
        <is>
          <t>ALBUM + (1 SOBRE GRATIS)
OFFICIAL STICKER
COLLECTION
G
FIFA
WORLD CUP
2026
STICKER ALBUM ÁLBUM DE CROMOS
ALBUM D'AUTOCOLLANTS
PANINI
FIFA
WORLD CUP
2026
4242405005</t>
        </is>
      </c>
      <c r="M238" t="inlineStr"/>
    </row>
    <row r="239">
      <c r="A239">
        <f>IMAGE("https://http2.mlstatic.com/D_NQ_NP_626969-MLB113666333391_062026-F.webp")</f>
        <v/>
      </c>
      <c r="B239" t="inlineStr">
        <is>
          <t>https://http2.mlstatic.com/D_NQ_NP_626969-MLB113666333391_062026-F.webp</t>
        </is>
      </c>
      <c r="C239" t="inlineStr">
        <is>
          <t>P-promo</t>
        </is>
      </c>
      <c r="D239" t="b">
        <v>1</v>
      </c>
      <c r="E239" t="b">
        <v>1</v>
      </c>
      <c r="F239" t="inlineStr">
        <is>
          <t>badge</t>
        </is>
      </c>
      <c r="G239" t="inlineStr">
        <is>
          <t>text that resembles a MercadoLibre badge</t>
        </is>
      </c>
      <c r="H239" t="inlineStr">
        <is>
          <t>medium</t>
        </is>
      </c>
      <c r="I239" t="b">
        <v>0</v>
      </c>
      <c r="J239" t="b">
        <v>0</v>
      </c>
      <c r="K239" t="inlineStr"/>
      <c r="L239" t="inlineStr">
        <is>
          <t>01995, 1996 and 1998 Nintendo, CREATURES, C
edição histórica! para guardar!
REVISTA OFICIAL
Pokémot
R$ 4,50
CLUB
E SPE
GRÁTIS:
SUPERPOSTER
DO MEWTWO
CIA
CONRAD
EDITORA
MEWTWO
CONTRA
ATACA
as férias de pikachu
O filme em quadrinhos para você!!!
7 898009 600849</t>
        </is>
      </c>
      <c r="M239" t="inlineStr"/>
    </row>
    <row r="240">
      <c r="A240">
        <f>IMAGE("https://http2.mlstatic.com/D_NQ_NP_611498-MLC113518263597_062026-F.webp")</f>
        <v/>
      </c>
      <c r="B240" t="inlineStr">
        <is>
          <t>https://http2.mlstatic.com/D_NQ_NP_611498-MLC113518263597_062026-F.webp</t>
        </is>
      </c>
      <c r="C240" t="inlineStr">
        <is>
          <t>P-promo</t>
        </is>
      </c>
      <c r="D240" t="b">
        <v>1</v>
      </c>
      <c r="E240" t="b">
        <v>1</v>
      </c>
      <c r="F240" t="inlineStr">
        <is>
          <t>badge</t>
        </is>
      </c>
      <c r="G240" t="inlineStr">
        <is>
          <t>GOAT 10</t>
        </is>
      </c>
      <c r="H240" t="inlineStr">
        <is>
          <t>medium</t>
        </is>
      </c>
      <c r="I240" t="b">
        <v>1</v>
      </c>
      <c r="J240" t="b">
        <v>1</v>
      </c>
      <c r="K240" t="inlineStr"/>
      <c r="L240" t="inlineStr">
        <is>
          <t>OFFICIAL STICKER COLLECTION
GOAT 10-
FIFA
WORLD CUP
2026
VISA
&amp; 101
24 06 1987 1.70
728
GRATIS!
FIFA
WORLD CUP
2026
FARINT</t>
        </is>
      </c>
      <c r="M240" t="inlineStr"/>
    </row>
    <row r="241">
      <c r="A241">
        <f>IMAGE("https://http2.mlstatic.com/D_NQ_NP_906265-MLM113315753259_062026-F.webp")</f>
        <v/>
      </c>
      <c r="B241" t="inlineStr">
        <is>
          <t>https://http2.mlstatic.com/D_NQ_NP_906265-MLM113315753259_062026-F.webp</t>
        </is>
      </c>
      <c r="C241" t="inlineStr">
        <is>
          <t>P-promo</t>
        </is>
      </c>
      <c r="D241" t="b">
        <v>1</v>
      </c>
      <c r="E241" t="b">
        <v>0</v>
      </c>
      <c r="F241" t="inlineStr">
        <is>
          <t>none</t>
        </is>
      </c>
      <c r="G241" t="inlineStr"/>
      <c r="H241" t="inlineStr">
        <is>
          <t>low</t>
        </is>
      </c>
      <c r="I241" t="b">
        <v>0</v>
      </c>
      <c r="J241" t="b">
        <v>0</v>
      </c>
      <c r="K241" t="inlineStr"/>
      <c r="L241" t="inlineStr">
        <is>
          <t>NUEVA
IMAGEN
GRATIS
TAIALAPIE
SACDPINTAS
Paper Mate
Verithin
Paper Mate® Verithin
ROJO
Paper Mats MIRADO
MÁS SUAVE
MAS INTENSO
TUS PRIMERAS
HRZS LETRAS
Paper Matee MIRADO Kids *A&gt; 2
Reporte
Lápiz
cherithir
MÁS SUAVE.
MÁS INTENSO
CONT: 12 PZAS.
CONT: BBEAS. +1 SACENTINS &amp;STARS B</t>
        </is>
      </c>
      <c r="M241" t="inlineStr"/>
    </row>
    <row r="242">
      <c r="A242">
        <f>IMAGE("https://http2.mlstatic.com/D_NQ_NP_846396-MLA113308129067_062026-F.webp")</f>
        <v/>
      </c>
      <c r="B242" t="inlineStr">
        <is>
          <t>https://http2.mlstatic.com/D_NQ_NP_846396-MLA113308129067_062026-F.webp</t>
        </is>
      </c>
      <c r="C242" t="inlineStr">
        <is>
          <t>P-promo</t>
        </is>
      </c>
      <c r="D242" t="b">
        <v>1</v>
      </c>
      <c r="E242" t="b">
        <v>1</v>
      </c>
      <c r="F242" t="inlineStr">
        <is>
          <t>badge</t>
        </is>
      </c>
      <c r="G242" t="inlineStr">
        <is>
          <t>un sello que imita una etiqueta oficial de MercadoLibre</t>
        </is>
      </c>
      <c r="H242" t="inlineStr">
        <is>
          <t>medium</t>
        </is>
      </c>
      <c r="I242" t="b">
        <v>0</v>
      </c>
      <c r="J242" t="b">
        <v>0</v>
      </c>
      <c r="K242" t="inlineStr"/>
      <c r="L242" t="inlineStr">
        <is>
          <t>-CUTE &amp; COMFY
GRÁTIS
1CANETA
CUTE &amp; COMFY
MOMENTOS DE TRANQUILIDADE
LOVE
Super Special
BUNNY SONG
LIVRO DE COLORIR PARA ADULTOS
Hello</t>
        </is>
      </c>
      <c r="M242" t="inlineStr"/>
    </row>
    <row r="243">
      <c r="A243">
        <f>IMAGE("https://http2.mlstatic.com/D_NQ_NP_790465-MLC112213081766_062026-F.webp")</f>
        <v/>
      </c>
      <c r="B243" t="inlineStr">
        <is>
          <t>https://http2.mlstatic.com/D_NQ_NP_790465-MLC112213081766_062026-F.webp</t>
        </is>
      </c>
      <c r="C243" t="inlineStr">
        <is>
          <t>P-promo</t>
        </is>
      </c>
      <c r="D243" t="b">
        <v>1</v>
      </c>
      <c r="E243" t="b">
        <v>1</v>
      </c>
      <c r="F243" t="inlineStr">
        <is>
          <t>badge</t>
        </is>
      </c>
      <c r="G243" t="inlineStr">
        <is>
          <t>un sello con texto como 'Recomendado' o 'Hot Sale' dibujado sobre la imagen</t>
        </is>
      </c>
      <c r="H243" t="inlineStr">
        <is>
          <t>medium</t>
        </is>
      </c>
      <c r="I243" t="b">
        <v>1</v>
      </c>
      <c r="J243" t="b">
        <v>1</v>
      </c>
      <c r="K243" t="inlineStr"/>
      <c r="L243" t="inlineStr">
        <is>
          <t>ALBUM + (1 SOBRE GRATIS)
OFFICIAL STICKER
COLLECTION
G
FIFA
WORLD CUP
2026
STICKER ALBUM ÁLBUM DE CROMOS
ALBUM D'AUTOCOLLANTS
PANINI
FIFA
WORLD CUP
2026
4242405005</t>
        </is>
      </c>
      <c r="M243" t="inlineStr"/>
    </row>
    <row r="244">
      <c r="A244">
        <f>IMAGE("https://http2.mlstatic.com/D_NQ_NP_782587-CBT108622317798_032026-F.webp")</f>
        <v/>
      </c>
      <c r="B244" t="inlineStr">
        <is>
          <t>https://http2.mlstatic.com/D_NQ_NP_782587-CBT108622317798_032026-F.webp</t>
        </is>
      </c>
      <c r="C244" t="inlineStr">
        <is>
          <t>P-promo</t>
        </is>
      </c>
      <c r="D244" t="b">
        <v>1</v>
      </c>
      <c r="E244" t="b">
        <v>1</v>
      </c>
      <c r="F244" t="inlineStr">
        <is>
          <t>badge</t>
        </is>
      </c>
      <c r="G244" t="inlineStr">
        <is>
          <t>Tienda Oficial</t>
        </is>
      </c>
      <c r="H244" t="inlineStr">
        <is>
          <t>high</t>
        </is>
      </c>
      <c r="I244" t="b">
        <v>0</v>
      </c>
      <c r="J244" t="b">
        <v>0</v>
      </c>
      <c r="K244" t="inlineStr"/>
      <c r="L244" t="inlineStr">
        <is>
          <t>NAD+
Cream
OFFICIAL STORE
שעול</t>
        </is>
      </c>
      <c r="M244" t="inlineStr"/>
    </row>
    <row r="245">
      <c r="A245">
        <f>IMAGE("https://http2.mlstatic.com/D_NQ_NP_824538-MLC112361915440_062026-F.webp")</f>
        <v/>
      </c>
      <c r="B245" t="inlineStr">
        <is>
          <t>https://http2.mlstatic.com/D_NQ_NP_824538-MLC112361915440_062026-F.webp</t>
        </is>
      </c>
      <c r="C245" t="inlineStr">
        <is>
          <t>P-promo</t>
        </is>
      </c>
      <c r="D245" t="b">
        <v>1</v>
      </c>
      <c r="E245" t="b">
        <v>1</v>
      </c>
      <c r="F245" t="inlineStr">
        <is>
          <t>badge</t>
        </is>
      </c>
      <c r="G245" t="inlineStr">
        <is>
          <t>GOAT 10</t>
        </is>
      </c>
      <c r="H245" t="inlineStr">
        <is>
          <t>medium</t>
        </is>
      </c>
      <c r="I245" t="b">
        <v>1</v>
      </c>
      <c r="J245" t="b">
        <v>1</v>
      </c>
      <c r="K245" t="inlineStr"/>
      <c r="L245" t="inlineStr">
        <is>
          <t>OFFICIAL STICKER COLLECTION
GOAT 10-
FIFA
WORLD CUP
2026
VISA
&amp; 101
24 06 1987 1.70
728
GRATIS!
FIFA
WORLD CUP
2026
FARINT</t>
        </is>
      </c>
      <c r="M245" t="inlineStr"/>
    </row>
    <row r="246">
      <c r="A246">
        <f>IMAGE("https://http2.mlstatic.com/D_NQ_NP_646905-MLB113353001687_062026-F.webp")</f>
        <v/>
      </c>
      <c r="B246" t="inlineStr">
        <is>
          <t>https://http2.mlstatic.com/D_NQ_NP_646905-MLB113353001687_062026-F.webp</t>
        </is>
      </c>
      <c r="C246" t="inlineStr">
        <is>
          <t>P-promo</t>
        </is>
      </c>
      <c r="D246" t="b">
        <v>1</v>
      </c>
      <c r="E246" t="b">
        <v>1</v>
      </c>
      <c r="F246" t="inlineStr">
        <is>
          <t>promo</t>
        </is>
      </c>
      <c r="G246" t="inlineStr">
        <is>
          <t>Promoção por tempo limitado</t>
        </is>
      </c>
      <c r="H246" t="inlineStr">
        <is>
          <t>high</t>
        </is>
      </c>
      <c r="I246" t="b">
        <v>1</v>
      </c>
      <c r="J246" t="b">
        <v>1</v>
      </c>
      <c r="K246" t="inlineStr"/>
      <c r="L246" t="inlineStr">
        <is>
          <t>Promoção por tempo lingitado
HONDA
Hann
Documentacão gratis</t>
        </is>
      </c>
      <c r="M246" t="inlineStr"/>
    </row>
    <row r="247">
      <c r="A247">
        <f>IMAGE("https://http2.mlstatic.com/D_NQ_NP_882241-MLC113518222103_062026-F.webp")</f>
        <v/>
      </c>
      <c r="B247" t="inlineStr">
        <is>
          <t>https://http2.mlstatic.com/D_NQ_NP_882241-MLC113518222103_062026-F.webp</t>
        </is>
      </c>
      <c r="C247" t="inlineStr">
        <is>
          <t>P-promo</t>
        </is>
      </c>
      <c r="D247" t="b">
        <v>1</v>
      </c>
      <c r="E247" t="b">
        <v>1</v>
      </c>
      <c r="F247" t="inlineStr">
        <is>
          <t>badge</t>
        </is>
      </c>
      <c r="G247" t="inlineStr">
        <is>
          <t>GOAT 10</t>
        </is>
      </c>
      <c r="H247" t="inlineStr">
        <is>
          <t>medium</t>
        </is>
      </c>
      <c r="I247" t="b">
        <v>1</v>
      </c>
      <c r="J247" t="b">
        <v>1</v>
      </c>
      <c r="K247" t="inlineStr"/>
      <c r="L247" t="inlineStr">
        <is>
          <t>OFFICIAL STICKER COLLECTION
GOAT 10-
FIFA
WORLD CUP
2026
VISA
&amp; 101
24 06 1987 1.70
728
GRATIS!
FIFA
WORLD CUP
2026
FARINT</t>
        </is>
      </c>
      <c r="M247" t="inlineStr"/>
    </row>
    <row r="248">
      <c r="A248">
        <f>IMAGE("https://http2.mlstatic.com/D_NQ_NP_662631-MLB112859263173_062026-F.webp")</f>
        <v/>
      </c>
      <c r="B248" t="inlineStr">
        <is>
          <t>https://http2.mlstatic.com/D_NQ_NP_662631-MLB112859263173_062026-F.webp</t>
        </is>
      </c>
      <c r="C248" t="inlineStr">
        <is>
          <t>P-promo</t>
        </is>
      </c>
      <c r="D248" t="b">
        <v>1</v>
      </c>
      <c r="E248" t="b">
        <v>1</v>
      </c>
      <c r="F248" t="inlineStr">
        <is>
          <t>badge</t>
        </is>
      </c>
      <c r="G248" t="inlineStr">
        <is>
          <t>O MAIS VENDIDO COMPRADO POR MILHARES</t>
        </is>
      </c>
      <c r="H248" t="inlineStr">
        <is>
          <t>high</t>
        </is>
      </c>
      <c r="I248" t="b">
        <v>1</v>
      </c>
      <c r="J248" t="b">
        <v>1</v>
      </c>
      <c r="K248" t="inlineStr"/>
      <c r="L248" t="inlineStr">
        <is>
          <t>Maison Dorée.
Luxo instantâneo na sua mesa
ACO INOX
PREMIUM
O MAIS VENDIDO
COMPRADO
POR MILHARES
SUCESSO EM
TODO O BRASIL
**
PEQUENO NO PREÇO, GIGANTE NA TRANSFORMAÇÃO
Economia
Inteligente
Design
Premium
Design
Premium</t>
        </is>
      </c>
      <c r="M248" t="inlineStr"/>
    </row>
    <row r="249">
      <c r="A249">
        <f>IMAGE("https://http2.mlstatic.com/D_NQ_NP_909619-MLM113565542439_062026-F.webp")</f>
        <v/>
      </c>
      <c r="B249" t="inlineStr">
        <is>
          <t>https://http2.mlstatic.com/D_NQ_NP_909619-MLM113565542439_062026-F.webp</t>
        </is>
      </c>
      <c r="C249" t="inlineStr">
        <is>
          <t>P-promo</t>
        </is>
      </c>
      <c r="D249" t="b">
        <v>1</v>
      </c>
      <c r="E249" t="b">
        <v>1</v>
      </c>
      <c r="F249" t="inlineStr">
        <is>
          <t>promo</t>
        </is>
      </c>
      <c r="G249" t="inlineStr">
        <is>
          <t>bait INCLUDES SIM GRATIS. CON $100 DE SALDO</t>
        </is>
      </c>
      <c r="H249" t="inlineStr">
        <is>
          <t>high</t>
        </is>
      </c>
      <c r="I249" t="b">
        <v>1</v>
      </c>
      <c r="J249" t="b">
        <v>1</v>
      </c>
      <c r="K249" t="inlineStr"/>
      <c r="L249" t="inlineStr">
        <is>
          <t>HIKING
46
MOULA
AO TOMS
HIKING
baît
INCLUYE
SIM GRATIS.
CON $100 DE SALDO</t>
        </is>
      </c>
      <c r="M249" t="inlineStr"/>
    </row>
    <row r="250">
      <c r="A250">
        <f>IMAGE("https://http2.mlstatic.com/D_NQ_NP_918772-MLC113359332701_062026-F.webp")</f>
        <v/>
      </c>
      <c r="B250" t="inlineStr">
        <is>
          <t>https://http2.mlstatic.com/D_NQ_NP_918772-MLC113359332701_062026-F.webp</t>
        </is>
      </c>
      <c r="C250" t="inlineStr">
        <is>
          <t>P-promo</t>
        </is>
      </c>
      <c r="D250" t="b">
        <v>1</v>
      </c>
      <c r="E250" t="b">
        <v>1</v>
      </c>
      <c r="F250" t="inlineStr">
        <is>
          <t>badge</t>
        </is>
      </c>
      <c r="G250" t="inlineStr">
        <is>
          <t>un sello con texto como 'Recomendado' o 'Hot Sale' dibujado sobre la imagen</t>
        </is>
      </c>
      <c r="H250" t="inlineStr">
        <is>
          <t>medium</t>
        </is>
      </c>
      <c r="I250" t="b">
        <v>1</v>
      </c>
      <c r="J250" t="b">
        <v>1</v>
      </c>
      <c r="K250" t="inlineStr"/>
      <c r="L250" t="inlineStr">
        <is>
          <t>ALBUM + (1 SOBRE GRATIS)
OFFICIAL STICKER
COLLECTION
G
FIFA
WORLD CUP
2026
STICKER ALBUM ÁLBUM DE CROMOS
ALBUM D'AUTOCOLLANTS
PANINI
FIFA
WORLD CUP
2026
4242405005</t>
        </is>
      </c>
      <c r="M250" t="inlineStr"/>
    </row>
    <row r="251">
      <c r="A251">
        <f>IMAGE("https://http2.mlstatic.com/D_NQ_NP_629205-MLC113477602535_062026-F.webp")</f>
        <v/>
      </c>
      <c r="B251" t="inlineStr">
        <is>
          <t>https://http2.mlstatic.com/D_NQ_NP_629205-MLC113477602535_062026-F.webp</t>
        </is>
      </c>
      <c r="C251" t="inlineStr">
        <is>
          <t>P-promo</t>
        </is>
      </c>
      <c r="D251" t="b">
        <v>1</v>
      </c>
      <c r="E251" t="b">
        <v>1</v>
      </c>
      <c r="F251" t="inlineStr">
        <is>
          <t>badge</t>
        </is>
      </c>
      <c r="G251" t="inlineStr">
        <is>
          <t>text overlay with 'GOAT 10' and 'Free!'</t>
        </is>
      </c>
      <c r="H251" t="inlineStr">
        <is>
          <t>high</t>
        </is>
      </c>
      <c r="I251" t="b">
        <v>1</v>
      </c>
      <c r="J251" t="b">
        <v>1</v>
      </c>
      <c r="K251" t="inlineStr"/>
      <c r="L251" t="inlineStr">
        <is>
          <t>Combo Imperdible
(1) Album Tapa Blanda
+1 Sobre de Barajitas
+ Portaretrato y Foto Del
numero 1 del mundo
OFFICIAL STICKER COLLECTION
GOAT 10
FIFA
WORLD CUP
2026
VISA
A
210
GRATIS
773
2026</t>
        </is>
      </c>
      <c r="M251" t="inlineStr"/>
    </row>
    <row r="252">
      <c r="A252">
        <f>IMAGE("https://http2.mlstatic.com/D_NQ_NP_645226-MLB45003048365_022021-F.webp")</f>
        <v/>
      </c>
      <c r="B252" t="inlineStr">
        <is>
          <t>https://http2.mlstatic.com/D_NQ_NP_645226-MLB45003048365_022021-F.webp</t>
        </is>
      </c>
      <c r="C252" t="inlineStr">
        <is>
          <t>P-promo</t>
        </is>
      </c>
      <c r="D252" t="b">
        <v>1</v>
      </c>
      <c r="E252" t="b">
        <v>1</v>
      </c>
      <c r="F252" t="inlineStr">
        <is>
          <t>badge</t>
        </is>
      </c>
      <c r="G252" t="inlineStr">
        <is>
          <t>FRETE GRÁTIS!</t>
        </is>
      </c>
      <c r="H252" t="inlineStr">
        <is>
          <t>high</t>
        </is>
      </c>
      <c r="I252" t="b">
        <v>1</v>
      </c>
      <c r="J252" t="b">
        <v>1</v>
      </c>
      <c r="K252" t="inlineStr"/>
      <c r="L252" t="inlineStr">
        <is>
          <t xml:space="preserve">4 FULL
FRETE
GRÁTIS!
(LUCYS
LUCYS
LINHA ESBELTA
LINHA ESBELTA
LOÇA
LOÇÃO
BUM BUM
LUCYS
LINHA ESBELTA
LINHA ESBELTA
CREME PARA
CREME PARA
SEIOS
A
SEIOS
Glúteos
Coxas
Abdômen
130ml
100g
100g
130ml
</t>
        </is>
      </c>
      <c r="M252" t="inlineStr"/>
    </row>
    <row r="253">
      <c r="A253">
        <f>IMAGE("https://http2.mlstatic.com/D_NQ_NP_766167-MLB44657366104_012021-F.webp")</f>
        <v/>
      </c>
      <c r="B253" t="inlineStr">
        <is>
          <t>https://http2.mlstatic.com/D_NQ_NP_766167-MLB44657366104_012021-F.webp</t>
        </is>
      </c>
      <c r="C253" t="inlineStr">
        <is>
          <t>P-promo</t>
        </is>
      </c>
      <c r="D253" t="b">
        <v>1</v>
      </c>
      <c r="E253" t="b">
        <v>1</v>
      </c>
      <c r="F253" t="inlineStr">
        <is>
          <t>promo</t>
        </is>
      </c>
      <c r="G253" t="inlineStr">
        <is>
          <t>OFERTA IMPERDÍVEL!!</t>
        </is>
      </c>
      <c r="H253" t="inlineStr">
        <is>
          <t>high</t>
        </is>
      </c>
      <c r="I253" t="b">
        <v>1</v>
      </c>
      <c r="J253" t="b">
        <v>1</v>
      </c>
      <c r="K253" t="inlineStr"/>
      <c r="L253" t="inlineStr">
        <is>
          <t xml:space="preserve">OFERTA IMPERDÍVEL!!
Acionamento
de
МЕTAL
O MELHOR DO BRÁS
CASE PEQUENA
E COMPACTA
</t>
        </is>
      </c>
      <c r="M253" t="inlineStr"/>
    </row>
    <row r="254">
      <c r="A254">
        <f>IMAGE("https://http2.mlstatic.com/D_NQ_NP_961661-MLB113585137285_062026-F.webp")</f>
        <v/>
      </c>
      <c r="B254" t="inlineStr">
        <is>
          <t>https://http2.mlstatic.com/D_NQ_NP_961661-MLB113585137285_062026-F.webp</t>
        </is>
      </c>
      <c r="C254" t="inlineStr">
        <is>
          <t>P-promo</t>
        </is>
      </c>
      <c r="D254" t="b">
        <v>1</v>
      </c>
      <c r="E254" t="b">
        <v>1</v>
      </c>
      <c r="F254" t="inlineStr">
        <is>
          <t>promo</t>
        </is>
      </c>
      <c r="G254" t="inlineStr">
        <is>
          <t>OFERTA ESPECIAL</t>
        </is>
      </c>
      <c r="H254" t="inlineStr">
        <is>
          <t>high</t>
        </is>
      </c>
      <c r="I254" t="b">
        <v>1</v>
      </c>
      <c r="J254" t="b">
        <v>1</v>
      </c>
      <c r="K254" t="inlineStr"/>
      <c r="L254" t="inlineStr">
        <is>
          <t>OFERTA ESPECIAL
SCJohnson
Uma Empresa de Familla
LIMPA
E PERFUMA
POSSUI REDE
PROTETORA
OFERTA ESPECIAL
SCJohnson
Uma Empresa de Familla
LIMPA E
PERFUMA
POSSUI REDE
PROTETORA
PATO
Pedra
Sanitária
LAVANDA
PATO
Pedra
Sanitária
LAVANDA
CONTEM
1 REDE PLASTICA
+1 GANCHO+1 PEDRA
DETERGENTE SANITARIO
CONSER</t>
        </is>
      </c>
      <c r="M254" t="inlineStr"/>
    </row>
    <row r="255">
      <c r="A255">
        <f>IMAGE("https://http2.mlstatic.com/D_NQ_NP_951123-MLB113650734299_062026-F.webp")</f>
        <v/>
      </c>
      <c r="B255" t="inlineStr">
        <is>
          <t>https://http2.mlstatic.com/D_NQ_NP_951123-MLB113650734299_062026-F.webp</t>
        </is>
      </c>
      <c r="C255" t="inlineStr">
        <is>
          <t>P-promo</t>
        </is>
      </c>
      <c r="D255" t="b">
        <v>1</v>
      </c>
      <c r="E255" t="b">
        <v>1</v>
      </c>
      <c r="F255" t="inlineStr">
        <is>
          <t>promo</t>
        </is>
      </c>
      <c r="G255" t="inlineStr">
        <is>
          <t>50% de desconto na 2ª unidade</t>
        </is>
      </c>
      <c r="H255" t="inlineStr">
        <is>
          <t>high</t>
        </is>
      </c>
      <c r="I255" t="b">
        <v>1</v>
      </c>
      <c r="J255" t="b">
        <v>1</v>
      </c>
      <c r="K255" t="inlineStr"/>
      <c r="L255" t="inlineStr">
        <is>
          <t>ESPECIAL
GIOVANNA BABY
50%
de desconto
lilac
GIOVANNA BABY
GIOV
lilac
PROTEÇÃOE CUIDADO
PROTEÇÃO
48h
GIOVANNA BABY
GIOVANNA BABY
Ma
Contém: 2 unidades de Desodorante Antiperspi
Roll-on Giovanna Baby Lilac de 50ml cad
PROTEÇÃO CUIDADO
com agente hidratante
Desodorante Roll-On Antiperspirants
50m
PROT</t>
        </is>
      </c>
      <c r="M255" t="inlineStr"/>
    </row>
    <row r="256">
      <c r="A256">
        <f>IMAGE("https://http2.mlstatic.com/D_NQ_NP_907764-MLC113359354533_062026-F.webp")</f>
        <v/>
      </c>
      <c r="B256" t="inlineStr">
        <is>
          <t>https://http2.mlstatic.com/D_NQ_NP_907764-MLC113359354533_062026-F.webp</t>
        </is>
      </c>
      <c r="C256" t="inlineStr">
        <is>
          <t>P-promo</t>
        </is>
      </c>
      <c r="D256" t="b">
        <v>1</v>
      </c>
      <c r="E256" t="b">
        <v>1</v>
      </c>
      <c r="F256" t="inlineStr">
        <is>
          <t>badge</t>
        </is>
      </c>
      <c r="G256" t="inlineStr">
        <is>
          <t>un sello con texto como 'Recomendado' o 'Hot Sale' dibujado sobre la imagen</t>
        </is>
      </c>
      <c r="H256" t="inlineStr">
        <is>
          <t>medium</t>
        </is>
      </c>
      <c r="I256" t="b">
        <v>1</v>
      </c>
      <c r="J256" t="b">
        <v>1</v>
      </c>
      <c r="K256" t="inlineStr"/>
      <c r="L256" t="inlineStr">
        <is>
          <t>ALBUM + (1 SOBRE GRATIS)
OFFICIAL STICKER
COLLECTION
G
FIFA
WORLD CUP
2026
STICKER ALBUM ÁLBUM DE CROMOS
ALBUM D'AUTOCOLLANTS
PANINI
FIFA
WORLD CUP
2026
4242405005</t>
        </is>
      </c>
      <c r="M256" t="inlineStr"/>
    </row>
    <row r="257">
      <c r="A257">
        <f>IMAGE("https://http2.mlstatic.com/D_NQ_NP_953026-MLB112386433048_062026-F.webp")</f>
        <v/>
      </c>
      <c r="B257" t="inlineStr">
        <is>
          <t>https://http2.mlstatic.com/D_NQ_NP_953026-MLB112386433048_062026-F.webp</t>
        </is>
      </c>
      <c r="C257" t="inlineStr">
        <is>
          <t>P-promo</t>
        </is>
      </c>
      <c r="D257" t="b">
        <v>1</v>
      </c>
      <c r="E257" t="b">
        <v>1</v>
      </c>
      <c r="F257" t="inlineStr">
        <is>
          <t>promo</t>
        </is>
      </c>
      <c r="G257" t="inlineStr">
        <is>
          <t>MEGA OFERTA por tempo limitado</t>
        </is>
      </c>
      <c r="H257" t="inlineStr">
        <is>
          <t>high</t>
        </is>
      </c>
      <c r="I257" t="b">
        <v>1</v>
      </c>
      <c r="J257" t="b">
        <v>1</v>
      </c>
      <c r="K257" t="inlineStr"/>
      <c r="L257" t="inlineStr">
        <is>
          <t>Localiza
seminovos
MEGA
OFERTA
por tempo
limitado</t>
        </is>
      </c>
      <c r="M257" t="inlineStr"/>
    </row>
    <row r="258">
      <c r="A258">
        <f>IMAGE("https://http2.mlstatic.com/D_NQ_NP_833394-MLB113624321953_062026-F.webp")</f>
        <v/>
      </c>
      <c r="B258" t="inlineStr">
        <is>
          <t>https://http2.mlstatic.com/D_NQ_NP_833394-MLB113624321953_062026-F.webp</t>
        </is>
      </c>
      <c r="C258" t="inlineStr">
        <is>
          <t>P-promo</t>
        </is>
      </c>
      <c r="D258" t="b">
        <v>1</v>
      </c>
      <c r="E258" t="b">
        <v>1</v>
      </c>
      <c r="F258" t="inlineStr">
        <is>
          <t>promo</t>
        </is>
      </c>
      <c r="G258" t="inlineStr">
        <is>
          <t>OFERTA</t>
        </is>
      </c>
      <c r="H258" t="inlineStr">
        <is>
          <t>high</t>
        </is>
      </c>
      <c r="I258" t="b">
        <v>0</v>
      </c>
      <c r="J258" t="b">
        <v>0</v>
      </c>
      <c r="K258" t="inlineStr"/>
      <c r="L258" t="inlineStr">
        <is>
          <t>LOFTEX
COMPLETO
OFERTAS</t>
        </is>
      </c>
      <c r="M258" t="inlineStr"/>
    </row>
    <row r="259">
      <c r="A259">
        <f>IMAGE("https://http2.mlstatic.com/D_NQ_NP_815881-MLB112326685180_062026-F.webp")</f>
        <v/>
      </c>
      <c r="B259" t="inlineStr">
        <is>
          <t>https://http2.mlstatic.com/D_NQ_NP_815881-MLB112326685180_062026-F.webp</t>
        </is>
      </c>
      <c r="C259" t="inlineStr">
        <is>
          <t>P-promo</t>
        </is>
      </c>
      <c r="D259" t="b">
        <v>1</v>
      </c>
      <c r="E259" t="b">
        <v>1</v>
      </c>
      <c r="F259" t="inlineStr">
        <is>
          <t>badge</t>
        </is>
      </c>
      <c r="G259" t="inlineStr">
        <is>
          <t>logos de marca o del fabricante</t>
        </is>
      </c>
      <c r="H259" t="inlineStr">
        <is>
          <t>low</t>
        </is>
      </c>
      <c r="I259" t="b">
        <v>0</v>
      </c>
      <c r="J259" t="b">
        <v>0</v>
      </c>
      <c r="K259" t="inlineStr"/>
      <c r="L259" t="inlineStr">
        <is>
          <t>Hey,
Mundo!
THIAGUINHO
ENVIE UM SMS
GRATIS COM
VQV PARA 5656
E ATIVE VAMO
QUE VAMO
COMO SOM DE
CHAMADA
THIAGUINHO
A
o
#VAMOQVAMO
VIV</t>
        </is>
      </c>
      <c r="M259" t="inlineStr"/>
    </row>
    <row r="260">
      <c r="A260">
        <f>IMAGE("https://http2.mlstatic.com/D_NQ_NP_947971-MLB112215989400_062026-F.webp")</f>
        <v/>
      </c>
      <c r="B260" t="inlineStr">
        <is>
          <t>https://http2.mlstatic.com/D_NQ_NP_947971-MLB112215989400_062026-F.webp</t>
        </is>
      </c>
      <c r="C260" t="inlineStr">
        <is>
          <t>P-promo</t>
        </is>
      </c>
      <c r="D260" t="b">
        <v>1</v>
      </c>
      <c r="E260" t="b">
        <v>1</v>
      </c>
      <c r="F260" t="inlineStr">
        <is>
          <t>badge</t>
        </is>
      </c>
      <c r="G260" t="inlineStr">
        <is>
          <t>un sello que imita una etiqueta oficial de MercadoLibre</t>
        </is>
      </c>
      <c r="H260" t="inlineStr">
        <is>
          <t>medium</t>
        </is>
      </c>
      <c r="I260" t="b">
        <v>1</v>
      </c>
      <c r="J260" t="b">
        <v>1</v>
      </c>
      <c r="K260" t="inlineStr"/>
      <c r="L260" t="inlineStr">
        <is>
          <t>OFERTA IMPERDÍVEL
REVISAM
SAPROUDG
ENTRE EM CONTATO
(31) 3646-2052
MÜLLER
AVENIDA NÉLIO CERQUEIRA N° 864,
BAIRRO TIROL, BELO HORIZONTE/MG
AUTOMÓVEIS
FIAT IDEA
ESSENCE 2016
1.6 MPI ESSENCE 16V FLEX
4P MANUAL
✓ AR CONDICIONADO
✓ DIREÇÃO HIDRÁULICA
✓ VIDROS ELÉTRICOS
✓ TRAVAS ELÉTRICAS
✓ DOCUMENTAÇÃO E</t>
        </is>
      </c>
      <c r="M260" t="inlineStr"/>
    </row>
    <row r="261">
      <c r="A261">
        <f>IMAGE("https://http2.mlstatic.com/D_NQ_NP_715493-MLC113359381961_062026-F.webp")</f>
        <v/>
      </c>
      <c r="B261" t="inlineStr">
        <is>
          <t>https://http2.mlstatic.com/D_NQ_NP_715493-MLC113359381961_062026-F.webp</t>
        </is>
      </c>
      <c r="C261" t="inlineStr">
        <is>
          <t>P-promo</t>
        </is>
      </c>
      <c r="D261" t="b">
        <v>1</v>
      </c>
      <c r="E261" t="b">
        <v>1</v>
      </c>
      <c r="F261" t="inlineStr">
        <is>
          <t>badge</t>
        </is>
      </c>
      <c r="G261" t="inlineStr">
        <is>
          <t>un sello con texto como 'Recomendado' o 'Hot Sale' dibujado sobre la imagen</t>
        </is>
      </c>
      <c r="H261" t="inlineStr">
        <is>
          <t>medium</t>
        </is>
      </c>
      <c r="I261" t="b">
        <v>1</v>
      </c>
      <c r="J261" t="b">
        <v>1</v>
      </c>
      <c r="K261" t="inlineStr"/>
      <c r="L261" t="inlineStr">
        <is>
          <t>ALBUM + (1 SOBRE GRATIS)
OFFICIAL STICKER
COLLECTION
G
FIFA
WORLD CUP
2026
STICKER ALBUM ÁLBUM DE CROMOS
ALBUM D'AUTOCOLLANTS
PANINI
FIFA
WORLD CUP
2026
4242405005</t>
        </is>
      </c>
      <c r="M261" t="inlineStr"/>
    </row>
    <row r="262">
      <c r="A262">
        <f>IMAGE("https://http2.mlstatic.com/D_NQ_NP_648893-MLB112310186992_062026-F.webp")</f>
        <v/>
      </c>
      <c r="B262" t="inlineStr">
        <is>
          <t>https://http2.mlstatic.com/D_NQ_NP_648893-MLB112310186992_062026-F.webp</t>
        </is>
      </c>
      <c r="C262" t="inlineStr">
        <is>
          <t>P-promo</t>
        </is>
      </c>
      <c r="D262" t="b">
        <v>1</v>
      </c>
      <c r="E262" t="b">
        <v>1</v>
      </c>
      <c r="F262" t="inlineStr">
        <is>
          <t>badge</t>
        </is>
      </c>
      <c r="G262" t="inlineStr">
        <is>
          <t>un sello que imita una etiqueta oficial de MercadoLibre</t>
        </is>
      </c>
      <c r="H262" t="inlineStr">
        <is>
          <t>medium</t>
        </is>
      </c>
      <c r="I262" t="b">
        <v>0</v>
      </c>
      <c r="J262" t="b">
        <v>0</v>
      </c>
      <c r="K262" t="inlineStr"/>
      <c r="L262" t="inlineStr">
        <is>
          <t>MUSICA
CINEMA
IVROS ARTES PLASTICAS .
TEATRO
CA
BRAVO!
GRATIS
O primeiro número da coleção
Grandes Compositores da
Música Classica
O MELHOR CA CULTURA EM JUNHO DE 2009
AS 16,00
Manuel Bandeira
O crítico implacável
白
Textos inéditos
dos anos 30 revelam
um cronista severo
até com os
modernistas.
Mas t</t>
        </is>
      </c>
      <c r="M262" t="inlineStr"/>
    </row>
    <row r="263">
      <c r="A263">
        <f>IMAGE("https://http2.mlstatic.com/D_NQ_NP_857081-MCO113428407345_062026-F.webp")</f>
        <v/>
      </c>
      <c r="B263" t="inlineStr">
        <is>
          <t>https://http2.mlstatic.com/D_NQ_NP_857081-MCO113428407345_062026-F.webp</t>
        </is>
      </c>
      <c r="C263" t="inlineStr">
        <is>
          <t>P-promo</t>
        </is>
      </c>
      <c r="D263" t="b">
        <v>1</v>
      </c>
      <c r="E263" t="b">
        <v>0</v>
      </c>
      <c r="F263" t="inlineStr">
        <is>
          <t>none</t>
        </is>
      </c>
      <c r="G263" t="inlineStr"/>
      <c r="H263" t="inlineStr">
        <is>
          <t>low</t>
        </is>
      </c>
      <c r="I263" t="b">
        <v>0</v>
      </c>
      <c r="J263" t="b">
        <v>0</v>
      </c>
      <c r="K263" t="inlineStr"/>
      <c r="L263" t="inlineStr">
        <is>
          <t>NESCAFÉ Dolce Gusto® is rewarding in more ways than one. Find new flavours,
information, tips and tricks, special offers and sign-up for our rewards program at:
NESCAFÉ Dolce Gusto® is rewarding in more ways than one.
Find new flavours information, tips and special offers at:
Il existe plus d'une fa</t>
        </is>
      </c>
      <c r="M263" t="inlineStr"/>
    </row>
    <row r="264">
      <c r="A264">
        <f>IMAGE("https://http2.mlstatic.com/D_NQ_NP_873490-MLM112295470578_062026-F.webp")</f>
        <v/>
      </c>
      <c r="B264" t="inlineStr">
        <is>
          <t>https://http2.mlstatic.com/D_NQ_NP_873490-MLM112295470578_062026-F.webp</t>
        </is>
      </c>
      <c r="C264" t="inlineStr">
        <is>
          <t>P-promo</t>
        </is>
      </c>
      <c r="D264" t="b">
        <v>1</v>
      </c>
      <c r="E264" t="b">
        <v>0</v>
      </c>
      <c r="F264" t="inlineStr">
        <is>
          <t>none</t>
        </is>
      </c>
      <c r="G264" t="inlineStr"/>
      <c r="H264" t="inlineStr">
        <is>
          <t>low</t>
        </is>
      </c>
      <c r="I264" t="b">
        <v>0</v>
      </c>
      <c r="J264" t="b">
        <v>0</v>
      </c>
      <c r="K264" t="inlineStr"/>
      <c r="L264" t="inlineStr">
        <is>
          <t>EJECUCION PUBLICA CON FINES DE LUCRO CBS/
CBS
SI ME VAS A OLVIDAR
ROBERTO CARLOS
CBS/COLUMBIA
INTE
PRLP-95098
33%
Lado A
(50-04-18566)
ESTEREO
1989 CBS
RECORDS
INC. (USA)
1 SI ME VAS A OLVIDAR
Ver. corta-
(Roberto Livi)
Del L. P. CBS "Sonrie" ZRI-465894
Producido por:
Roberto Livi y Mauro Motta
Edit</t>
        </is>
      </c>
      <c r="M264" t="inlineStr"/>
    </row>
    <row r="265">
      <c r="A265">
        <f>IMAGE("https://http2.mlstatic.com/D_NQ_NP_721624-MLB112215706596_062026-F.webp")</f>
        <v/>
      </c>
      <c r="B265" t="inlineStr">
        <is>
          <t>https://http2.mlstatic.com/D_NQ_NP_721624-MLB112215706596_062026-F.webp</t>
        </is>
      </c>
      <c r="C265" t="inlineStr">
        <is>
          <t>P-promo</t>
        </is>
      </c>
      <c r="D265" t="b">
        <v>1</v>
      </c>
      <c r="E265" t="b">
        <v>0</v>
      </c>
      <c r="F265" t="inlineStr">
        <is>
          <t>none</t>
        </is>
      </c>
      <c r="G265" t="inlineStr"/>
      <c r="H265" t="inlineStr">
        <is>
          <t>low</t>
        </is>
      </c>
      <c r="I265" t="b">
        <v>0</v>
      </c>
      <c r="J265" t="b">
        <v>0</v>
      </c>
      <c r="K265" t="inlineStr"/>
      <c r="L265" t="inlineStr">
        <is>
          <t>UBL
JBL BOOMBOX BLACK-EXCELENTE ESTADO
MERCADO
LIVRE
FRETE
GRÁTIS
107</t>
        </is>
      </c>
      <c r="M265" t="inlineStr"/>
    </row>
    <row r="266">
      <c r="A266">
        <f>IMAGE("https://http2.mlstatic.com/D_NQ_NP_973027-MLC113359364387_062026-F.webp")</f>
        <v/>
      </c>
      <c r="B266" t="inlineStr">
        <is>
          <t>https://http2.mlstatic.com/D_NQ_NP_973027-MLC113359364387_062026-F.webp</t>
        </is>
      </c>
      <c r="C266" t="inlineStr">
        <is>
          <t>P-promo</t>
        </is>
      </c>
      <c r="D266" t="b">
        <v>1</v>
      </c>
      <c r="E266" t="b">
        <v>1</v>
      </c>
      <c r="F266" t="inlineStr">
        <is>
          <t>badge</t>
        </is>
      </c>
      <c r="G266" t="inlineStr">
        <is>
          <t>un sello con texto como 'Recomendado' o 'Hot Sale' dibujado sobre la imagen</t>
        </is>
      </c>
      <c r="H266" t="inlineStr">
        <is>
          <t>medium</t>
        </is>
      </c>
      <c r="I266" t="b">
        <v>1</v>
      </c>
      <c r="J266" t="b">
        <v>1</v>
      </c>
      <c r="K266" t="inlineStr"/>
      <c r="L266" t="inlineStr">
        <is>
          <t>ALBUM + (1 SOBRE GRATIS)
OFFICIAL STICKER
COLLECTION
G
FIFA
WORLD CUP
2026
STICKER ALBUM ÁLBUM DE CROMOS
ALBUM D'AUTOCOLLANTS
PANINI
FIFA
WORLD CUP
2026
4242405005</t>
        </is>
      </c>
      <c r="M266" t="inlineStr"/>
    </row>
    <row r="267">
      <c r="A267">
        <f>IMAGE("https://http2.mlstatic.com/D_NQ_NP_832191-MLB112291551094_062026-F.webp")</f>
        <v/>
      </c>
      <c r="B267" t="inlineStr">
        <is>
          <t>https://http2.mlstatic.com/D_NQ_NP_832191-MLB112291551094_062026-F.webp</t>
        </is>
      </c>
      <c r="C267" t="inlineStr">
        <is>
          <t>P-promo</t>
        </is>
      </c>
      <c r="D267" t="b">
        <v>1</v>
      </c>
      <c r="E267" t="b">
        <v>1</v>
      </c>
      <c r="F267" t="inlineStr">
        <is>
          <t>promo</t>
        </is>
      </c>
      <c r="G267" t="inlineStr">
        <is>
          <t>MEGA OFERTA por tempo limitado</t>
        </is>
      </c>
      <c r="H267" t="inlineStr">
        <is>
          <t>high</t>
        </is>
      </c>
      <c r="I267" t="b">
        <v>1</v>
      </c>
      <c r="J267" t="b">
        <v>1</v>
      </c>
      <c r="K267" t="inlineStr"/>
      <c r="L267" t="inlineStr">
        <is>
          <t>seminovos
Localiza
seminovos
MEGA
OFERTA
por tempo
limitado</t>
        </is>
      </c>
      <c r="M267" t="inlineStr"/>
    </row>
    <row r="268">
      <c r="A268">
        <f>IMAGE("https://http2.mlstatic.com/D_NQ_NP_845963-MLC113535479031_062026-F.webp")</f>
        <v/>
      </c>
      <c r="B268" t="inlineStr">
        <is>
          <t>https://http2.mlstatic.com/D_NQ_NP_845963-MLC113535479031_062026-F.webp</t>
        </is>
      </c>
      <c r="C268" t="inlineStr">
        <is>
          <t>P-promo</t>
        </is>
      </c>
      <c r="D268" t="b">
        <v>1</v>
      </c>
      <c r="E268" t="b">
        <v>1</v>
      </c>
      <c r="F268" t="inlineStr">
        <is>
          <t>badge</t>
        </is>
      </c>
      <c r="G268" t="inlineStr">
        <is>
          <t>¡LECTURA GRATIS EN LA NUBE.</t>
        </is>
      </c>
      <c r="H268" t="inlineStr">
        <is>
          <t>medium</t>
        </is>
      </c>
      <c r="I268" t="b">
        <v>0</v>
      </c>
      <c r="J268" t="b">
        <v>0</v>
      </c>
      <c r="K268" t="inlineStr"/>
      <c r="L268" t="inlineStr">
        <is>
          <t>¡LECTURA
GRATIS
EN LA NUBE.
tirant
lo blanch
TRATADOS
DERECHO
PROCESAL CIVIL
Parte Segunda
Actos Jurídicos Procesales
2ª Edición
ARTURO FELIPE ONFRAY VIVANCO</t>
        </is>
      </c>
      <c r="M268" t="inlineStr"/>
    </row>
    <row r="269">
      <c r="A269">
        <f>IMAGE("https://http2.mlstatic.com/D_NQ_NP_903901-MLB112366232538_062026-F.webp")</f>
        <v/>
      </c>
      <c r="B269" t="inlineStr">
        <is>
          <t>https://http2.mlstatic.com/D_NQ_NP_903901-MLB112366232538_062026-F.webp</t>
        </is>
      </c>
      <c r="C269" t="inlineStr">
        <is>
          <t>P-promo</t>
        </is>
      </c>
      <c r="D269" t="b">
        <v>1</v>
      </c>
      <c r="E269" t="b">
        <v>1</v>
      </c>
      <c r="F269" t="inlineStr">
        <is>
          <t>badge</t>
        </is>
      </c>
      <c r="G269" t="inlineStr">
        <is>
          <t>Mas de 100 milhões de cópias vendidas no mundo</t>
        </is>
      </c>
      <c r="H269" t="inlineStr">
        <is>
          <t>high</t>
        </is>
      </c>
      <c r="I269" t="b">
        <v>0</v>
      </c>
      <c r="J269" t="b">
        <v>0</v>
      </c>
      <c r="K269" t="inlineStr"/>
      <c r="L269" t="inlineStr">
        <is>
          <t>* Mais de
100 milhões
de cópias
vendidas
no mundo
NAPOLEON HILL
Autor do best-seller mundial Think and Grow Rich
+ ESPERTO
क्षमता
विज्ञान
QUE O DIABO
O mistério revelado da liberdade e do sucesso
#1
LIVRO MAIS
VENDIDO DE
2020
Ppublishnews
veja
#1
LIVRO MAIS
VENDIDO DE
2021
Ppublishnews
veja
UMA
ENTR</t>
        </is>
      </c>
      <c r="M269" t="inlineStr"/>
    </row>
    <row r="270">
      <c r="A270">
        <f>IMAGE("https://http2.mlstatic.com/D_NQ_NP_967690-MLA111994283730_062026-F.webp")</f>
        <v/>
      </c>
      <c r="B270" t="inlineStr">
        <is>
          <t>https://http2.mlstatic.com/D_NQ_NP_967690-MLA111994283730_062026-F.webp</t>
        </is>
      </c>
      <c r="C270" t="inlineStr">
        <is>
          <t>P-promo</t>
        </is>
      </c>
      <c r="D270" t="b">
        <v>1</v>
      </c>
      <c r="E270" t="b">
        <v>1</v>
      </c>
      <c r="F270" t="inlineStr">
        <is>
          <t>badge</t>
        </is>
      </c>
      <c r="G270" t="inlineStr">
        <is>
          <t>MADTEST: Test nivel PRO</t>
        </is>
      </c>
      <c r="H270" t="inlineStr">
        <is>
          <t>medium</t>
        </is>
      </c>
      <c r="I270" t="b">
        <v>1</v>
      </c>
      <c r="J270" t="b">
        <v>1</v>
      </c>
      <c r="K270" t="inlineStr"/>
      <c r="L270" t="inlineStr">
        <is>
          <t>SERVICIO MURCIANO DE SALUD
Celador/a
Subalterno/a
TEMARIO PARTE GENERAL
CONVOCATORIA
2026
Publicada en el BORM n.º 291,
de 18 de diciembre de 2025
Curso MAD360
Accede GRATIS 30 días
MADTEST: Test nivel PRO
✓ Técnicas de Memoria 360
Vídeos y esquemas
Actualizaciones legislativas
MɅD</t>
        </is>
      </c>
      <c r="M270" t="inlineStr"/>
    </row>
    <row r="271">
      <c r="A271">
        <f>IMAGE("https://http2.mlstatic.com/D_NQ_NP_629511-MLB42254960069_062020-F.webp")</f>
        <v/>
      </c>
      <c r="B271" t="inlineStr">
        <is>
          <t>https://http2.mlstatic.com/D_NQ_NP_629511-MLB42254960069_062020-F.webp</t>
        </is>
      </c>
      <c r="C271" t="inlineStr">
        <is>
          <t>P-promo</t>
        </is>
      </c>
      <c r="D271" t="b">
        <v>1</v>
      </c>
      <c r="E271" t="b">
        <v>0</v>
      </c>
      <c r="F271" t="inlineStr">
        <is>
          <t>none</t>
        </is>
      </c>
      <c r="G271" t="inlineStr"/>
      <c r="H271" t="inlineStr">
        <is>
          <t>low</t>
        </is>
      </c>
      <c r="I271" t="b">
        <v>0</v>
      </c>
      <c r="J271" t="b">
        <v>0</v>
      </c>
      <c r="K271" t="inlineStr"/>
      <c r="L271" t="inlineStr">
        <is>
          <t>WESTERN
Gravador de Pecos
Casator de Preces
Gratis</t>
        </is>
      </c>
      <c r="M271" t="inlineStr"/>
    </row>
    <row r="272">
      <c r="A272">
        <f>IMAGE("https://http2.mlstatic.com/D_NQ_NP_609878-MLC113477715853_062026-F.webp")</f>
        <v/>
      </c>
      <c r="B272" t="inlineStr">
        <is>
          <t>https://http2.mlstatic.com/D_NQ_NP_609878-MLC113477715853_062026-F.webp</t>
        </is>
      </c>
      <c r="C272" t="inlineStr">
        <is>
          <t>P-promo</t>
        </is>
      </c>
      <c r="D272" t="b">
        <v>1</v>
      </c>
      <c r="E272" t="b">
        <v>1</v>
      </c>
      <c r="F272" t="inlineStr">
        <is>
          <t>badge</t>
        </is>
      </c>
      <c r="G272" t="inlineStr">
        <is>
          <t>text overlay with 'GOAT 10' and 'Free!'</t>
        </is>
      </c>
      <c r="H272" t="inlineStr">
        <is>
          <t>high</t>
        </is>
      </c>
      <c r="I272" t="b">
        <v>1</v>
      </c>
      <c r="J272" t="b">
        <v>1</v>
      </c>
      <c r="K272" t="inlineStr"/>
      <c r="L272" t="inlineStr">
        <is>
          <t>Combo Imperdible
(1) Album Tapa Blanda
+1 Sobre de Barajitas
+ Portaretrato y Foto Del
numero 1 del mundo
OFFICIAL STICKER COLLECTION
GOAT 10
FIFA
WORLD CUP
2026
VISA
A
210
GRATIS
773
2026</t>
        </is>
      </c>
      <c r="M272" t="inlineStr"/>
    </row>
    <row r="273">
      <c r="A273">
        <f>IMAGE("https://http2.mlstatic.com/D_NQ_NP_688865-MLC112213275988_062026-F.webp")</f>
        <v/>
      </c>
      <c r="B273" t="inlineStr">
        <is>
          <t>https://http2.mlstatic.com/D_NQ_NP_688865-MLC112213275988_062026-F.webp</t>
        </is>
      </c>
      <c r="C273" t="inlineStr">
        <is>
          <t>P-promo</t>
        </is>
      </c>
      <c r="D273" t="b">
        <v>1</v>
      </c>
      <c r="E273" t="b">
        <v>1</v>
      </c>
      <c r="F273" t="inlineStr">
        <is>
          <t>badge</t>
        </is>
      </c>
      <c r="G273" t="inlineStr">
        <is>
          <t>un sello con texto como 'Recomendado' o 'Hot Sale' dibujado sobre la imagen</t>
        </is>
      </c>
      <c r="H273" t="inlineStr">
        <is>
          <t>medium</t>
        </is>
      </c>
      <c r="I273" t="b">
        <v>1</v>
      </c>
      <c r="J273" t="b">
        <v>1</v>
      </c>
      <c r="K273" t="inlineStr"/>
      <c r="L273" t="inlineStr">
        <is>
          <t>ALBUM + (1 SOBRE GRATIS)
OFFICIAL STICKER
COLLECTION
G
FIFA
WORLD CUP
2026
STICKER ALBUM ÁLBUM DE CROMOS
ALBUM D'AUTOCOLLANTS
PANINI
FIFA
WORLD CUP
2026
4242405005</t>
        </is>
      </c>
      <c r="M273" t="inlineStr"/>
    </row>
    <row r="274">
      <c r="A274">
        <f>IMAGE("https://http2.mlstatic.com/D_NQ_NP_803800-MLA110843868869_042026-F.webp")</f>
        <v/>
      </c>
      <c r="B274" t="inlineStr">
        <is>
          <t>https://http2.mlstatic.com/D_NQ_NP_803800-MLA110843868869_042026-F.webp</t>
        </is>
      </c>
      <c r="C274" t="inlineStr">
        <is>
          <t>P-promo</t>
        </is>
      </c>
      <c r="D274" t="b">
        <v>1</v>
      </c>
      <c r="E274" t="b">
        <v>0</v>
      </c>
      <c r="F274" t="inlineStr">
        <is>
          <t>none</t>
        </is>
      </c>
      <c r="G274" t="inlineStr"/>
      <c r="H274" t="inlineStr">
        <is>
          <t>low</t>
        </is>
      </c>
      <c r="I274" t="b">
        <v>0</v>
      </c>
      <c r="J274" t="b">
        <v>0</v>
      </c>
      <c r="K274" t="inlineStr"/>
      <c r="L274" t="inlineStr">
        <is>
          <t>FERIAL
Cazon Dales
31000
OFERTA
UVITA</t>
        </is>
      </c>
      <c r="M274" t="inlineStr"/>
    </row>
    <row r="275">
      <c r="A275">
        <f>IMAGE("https://http2.mlstatic.com/D_NQ_NP_921680-MLC113518261065_062026-F.webp")</f>
        <v/>
      </c>
      <c r="B275" t="inlineStr">
        <is>
          <t>https://http2.mlstatic.com/D_NQ_NP_921680-MLC113518261065_062026-F.webp</t>
        </is>
      </c>
      <c r="C275" t="inlineStr">
        <is>
          <t>P-promo</t>
        </is>
      </c>
      <c r="D275" t="b">
        <v>1</v>
      </c>
      <c r="E275" t="b">
        <v>1</v>
      </c>
      <c r="F275" t="inlineStr">
        <is>
          <t>badge</t>
        </is>
      </c>
      <c r="G275" t="inlineStr">
        <is>
          <t>GOAT 10</t>
        </is>
      </c>
      <c r="H275" t="inlineStr">
        <is>
          <t>medium</t>
        </is>
      </c>
      <c r="I275" t="b">
        <v>1</v>
      </c>
      <c r="J275" t="b">
        <v>1</v>
      </c>
      <c r="K275" t="inlineStr"/>
      <c r="L275" t="inlineStr">
        <is>
          <t>OFFICIAL STICKER COLLECTION
GOAT 10-
FIFA
WORLD CUP
2026
VISA
&amp; 101
24 06 1987 1.70
728
GRATIS!
FIFA
WORLD CUP
2026
FARINT</t>
        </is>
      </c>
      <c r="M275" t="inlineStr"/>
    </row>
    <row r="276">
      <c r="A276">
        <f>IMAGE("https://http2.mlstatic.com/D_NQ_NP_833881-MLU77232618288_072024-F.webp")</f>
        <v/>
      </c>
      <c r="B276" t="inlineStr">
        <is>
          <t>https://http2.mlstatic.com/D_NQ_NP_833881-MLU77232618288_072024-F.webp</t>
        </is>
      </c>
      <c r="C276" t="inlineStr">
        <is>
          <t>P-promo</t>
        </is>
      </c>
      <c r="D276" t="b">
        <v>1</v>
      </c>
      <c r="E276" t="b">
        <v>1</v>
      </c>
      <c r="F276" t="inlineStr">
        <is>
          <t>badge</t>
        </is>
      </c>
      <c r="G276" t="inlineStr">
        <is>
          <t>GARANTIA DE 100% SATISFAÇÃO</t>
        </is>
      </c>
      <c r="H276" t="inlineStr">
        <is>
          <t>high</t>
        </is>
      </c>
      <c r="I276" t="b">
        <v>1</v>
      </c>
      <c r="J276" t="b">
        <v>1</v>
      </c>
      <c r="K276" t="inlineStr"/>
      <c r="L276" t="inlineStr">
        <is>
          <t>FRETE
GRÁTIS
TEORIA E
EXERCÍCIOS
NOVA
CONCURSOS
POLICIA MG
PENAL
• Lingun Porpapaese
•Rao &amp;go
• Informatica
Nogles de Dire Do Conatuorl
• Non des de Direito Real
• Νος ίσο de Dies
Participatio focal
• Ley ash Esperal
Humor
וגונג 111,111%0]
ונם 88 80110 6 10 10
Cortesia
Mais do 2500 Testes com
respos</t>
        </is>
      </c>
      <c r="M276" t="inlineStr"/>
    </row>
    <row r="277">
      <c r="A277">
        <f>IMAGE("https://http2.mlstatic.com/D_NQ_NP_607132-MLA112602720815_062026-F.webp")</f>
        <v/>
      </c>
      <c r="B277" t="inlineStr">
        <is>
          <t>https://http2.mlstatic.com/D_NQ_NP_607132-MLA112602720815_062026-F.webp</t>
        </is>
      </c>
      <c r="C277" t="inlineStr">
        <is>
          <t>P-promo</t>
        </is>
      </c>
      <c r="D277" t="b">
        <v>1</v>
      </c>
      <c r="E277" t="b">
        <v>1</v>
      </c>
      <c r="F277" t="inlineStr">
        <is>
          <t>promo</t>
        </is>
      </c>
      <c r="G277" t="inlineStr">
        <is>
          <t>SUCESSO.pt</t>
        </is>
      </c>
      <c r="H277" t="inlineStr">
        <is>
          <t>high</t>
        </is>
      </c>
      <c r="I277" t="b">
        <v>0</v>
      </c>
      <c r="J277" t="b">
        <v>0</v>
      </c>
      <c r="K277" t="inlineStr"/>
      <c r="L277" t="inlineStr">
        <is>
          <t>LUIS FERREIRA LOPES
LILIANA CARVALHO MAFALDA AVELAR→ PATRÍCIA CRACEL
COTIC-CONSIRE
ZEOPUZ DONLIGE
EXTER BOTTOME &gt;&gt; S
PMPETUS INS
VR JABA KALUSORA ASTELENE BLEUNUM
sucesso.pt
CASOS DE EXCELÊNCIA EM PORTUGUÊS
EROTIC SONUENDUSTA RONICS FARA THROT
LATITEL VILAUAL MOTUDE BOFTWARE-ORM
OSMA→BULL NGA QOLICE</t>
        </is>
      </c>
      <c r="M277" t="inlineStr"/>
    </row>
    <row r="278">
      <c r="A278">
        <f>IMAGE("https://http2.mlstatic.com/D_NQ_NP_675272-MLC112213087316_062026-F.webp")</f>
        <v/>
      </c>
      <c r="B278" t="inlineStr">
        <is>
          <t>https://http2.mlstatic.com/D_NQ_NP_675272-MLC112213087316_062026-F.webp</t>
        </is>
      </c>
      <c r="C278" t="inlineStr">
        <is>
          <t>P-promo</t>
        </is>
      </c>
      <c r="D278" t="b">
        <v>1</v>
      </c>
      <c r="E278" t="b">
        <v>1</v>
      </c>
      <c r="F278" t="inlineStr">
        <is>
          <t>badge</t>
        </is>
      </c>
      <c r="G278" t="inlineStr">
        <is>
          <t>un sello con texto como 'Recomendado' o 'Hot Sale' dibujado sobre la imagen</t>
        </is>
      </c>
      <c r="H278" t="inlineStr">
        <is>
          <t>medium</t>
        </is>
      </c>
      <c r="I278" t="b">
        <v>1</v>
      </c>
      <c r="J278" t="b">
        <v>1</v>
      </c>
      <c r="K278" t="inlineStr"/>
      <c r="L278" t="inlineStr">
        <is>
          <t>ALBUM + (1 SOBRE GRATIS)
OFFICIAL STICKER
COLLECTION
G
FIFA
WORLD CUP
2026
STICKER ALBUM ÁLBUM DE CROMOS
ALBUM D'AUTOCOLLANTS
PANINI
FIFA
WORLD CUP
2026
4242405005</t>
        </is>
      </c>
      <c r="M278" t="inlineStr"/>
    </row>
    <row r="279">
      <c r="A279">
        <f>IMAGE("https://http2.mlstatic.com/D_NQ_NP_714416-MLB113505580781_062026-F.webp")</f>
        <v/>
      </c>
      <c r="B279" t="inlineStr">
        <is>
          <t>https://http2.mlstatic.com/D_NQ_NP_714416-MLB113505580781_062026-F.webp</t>
        </is>
      </c>
      <c r="C279" t="inlineStr">
        <is>
          <t>P-promo</t>
        </is>
      </c>
      <c r="D279" t="b">
        <v>1</v>
      </c>
      <c r="E279" t="b">
        <v>1</v>
      </c>
      <c r="F279" t="inlineStr">
        <is>
          <t>promo</t>
        </is>
      </c>
      <c r="G279" t="inlineStr">
        <is>
          <t>MEGA OFERTA por tempo limitado</t>
        </is>
      </c>
      <c r="H279" t="inlineStr">
        <is>
          <t>high</t>
        </is>
      </c>
      <c r="I279" t="b">
        <v>1</v>
      </c>
      <c r="J279" t="b">
        <v>1</v>
      </c>
      <c r="K279" t="inlineStr"/>
      <c r="L279" t="inlineStr">
        <is>
          <t>AP
A
novos
Localiza
seminovos
MEGA
OFERTA
por tempo
limitado</t>
        </is>
      </c>
      <c r="M279" t="inlineStr"/>
    </row>
    <row r="280">
      <c r="A280">
        <f>IMAGE("https://http2.mlstatic.com/D_NQ_NP_649305-MLB112266932870_062026-F.webp")</f>
        <v/>
      </c>
      <c r="B280" t="inlineStr">
        <is>
          <t>https://http2.mlstatic.com/D_NQ_NP_649305-MLB112266932870_062026-F.webp</t>
        </is>
      </c>
      <c r="C280" t="inlineStr">
        <is>
          <t>P-promo</t>
        </is>
      </c>
      <c r="D280" t="b">
        <v>1</v>
      </c>
      <c r="E280" t="b">
        <v>0</v>
      </c>
      <c r="F280" t="inlineStr">
        <is>
          <t>none</t>
        </is>
      </c>
      <c r="G280" t="inlineStr"/>
      <c r="H280" t="inlineStr">
        <is>
          <t>low</t>
        </is>
      </c>
      <c r="I280" t="b">
        <v>0</v>
      </c>
      <c r="J280" t="b">
        <v>0</v>
      </c>
      <c r="K280" t="inlineStr"/>
      <c r="L280" t="inlineStr">
        <is>
          <t>OFERTA</t>
        </is>
      </c>
      <c r="M280" t="inlineStr"/>
    </row>
    <row r="281">
      <c r="A281">
        <f>IMAGE("https://http2.mlstatic.com/D_NQ_NP_841042-MLA113624889437_062026-F.webp")</f>
        <v/>
      </c>
      <c r="B281" t="inlineStr">
        <is>
          <t>https://http2.mlstatic.com/D_NQ_NP_841042-MLA113624889437_062026-F.webp</t>
        </is>
      </c>
      <c r="C281" t="inlineStr">
        <is>
          <t>P-promo</t>
        </is>
      </c>
      <c r="D281" t="b">
        <v>1</v>
      </c>
      <c r="E281" t="b">
        <v>1</v>
      </c>
      <c r="F281" t="inlineStr">
        <is>
          <t>badge</t>
        </is>
      </c>
      <c r="G281" t="inlineStr">
        <is>
          <t>un sello que imita una etiqueta oficial de MercadoLibre</t>
        </is>
      </c>
      <c r="H281" t="inlineStr">
        <is>
          <t>medium</t>
        </is>
      </c>
      <c r="I281" t="b">
        <v>0</v>
      </c>
      <c r="J281" t="b">
        <v>0</v>
      </c>
      <c r="K281" t="inlineStr"/>
      <c r="L281" t="inlineStr">
        <is>
          <t>TRATADO DE LA
PROMOCIÓN DE LA FE
EN EL GRAN VEHÍCULO
Asvaghosa
OC
000</t>
        </is>
      </c>
      <c r="M281" t="inlineStr"/>
    </row>
    <row r="282">
      <c r="A282">
        <f>IMAGE("https://http2.mlstatic.com/D_NQ_NP_782210-MLB47220555143_082021-F.webp")</f>
        <v/>
      </c>
      <c r="B282" t="inlineStr">
        <is>
          <t>https://http2.mlstatic.com/D_NQ_NP_782210-MLB47220555143_082021-F.webp</t>
        </is>
      </c>
      <c r="C282" t="inlineStr">
        <is>
          <t>P-promo</t>
        </is>
      </c>
      <c r="D282" t="b">
        <v>1</v>
      </c>
      <c r="E282" t="b">
        <v>0</v>
      </c>
      <c r="F282" t="inlineStr">
        <is>
          <t>none</t>
        </is>
      </c>
      <c r="G282" t="inlineStr"/>
      <c r="H282" t="inlineStr">
        <is>
          <t>high</t>
        </is>
      </c>
      <c r="I282" t="b">
        <v>1</v>
      </c>
      <c r="J282" t="b">
        <v>1</v>
      </c>
      <c r="K282" t="inlineStr"/>
      <c r="L282" t="inlineStr">
        <is>
          <t xml:space="preserve">100%
PRODUTO
QUALIDADE
FRETE
GRÁTIS
</t>
        </is>
      </c>
      <c r="M282" t="inlineStr"/>
    </row>
    <row r="283">
      <c r="A283">
        <f>IMAGE("https://http2.mlstatic.com/D_NQ_NP_788069-MLB113368018199_062026-F.webp")</f>
        <v/>
      </c>
      <c r="B283" t="inlineStr">
        <is>
          <t>https://http2.mlstatic.com/D_NQ_NP_788069-MLB113368018199_062026-F.webp</t>
        </is>
      </c>
      <c r="C283" t="inlineStr">
        <is>
          <t>P-promo</t>
        </is>
      </c>
      <c r="D283" t="b">
        <v>1</v>
      </c>
      <c r="E283" t="b">
        <v>1</v>
      </c>
      <c r="F283" t="inlineStr">
        <is>
          <t>badge</t>
        </is>
      </c>
      <c r="G283" t="inlineStr">
        <is>
          <t>MAIS VENDIDO</t>
        </is>
      </c>
      <c r="H283" t="inlineStr">
        <is>
          <t>high</t>
        </is>
      </c>
      <c r="I283" t="b">
        <v>1</v>
      </c>
      <c r="J283" t="b">
        <v>1</v>
      </c>
      <c r="K283" t="inlineStr"/>
      <c r="L283" t="inlineStr">
        <is>
          <t>KIT COM 10 ESPONJAS
ECONÓMICO E DURÀVEL
MAIS
VENDIDO</t>
        </is>
      </c>
      <c r="M283" t="inlineStr"/>
    </row>
    <row r="284">
      <c r="A284">
        <f>IMAGE("https://http2.mlstatic.com/D_NQ_NP_992865-MLB113413921795_062026-F.webp")</f>
        <v/>
      </c>
      <c r="B284" t="inlineStr">
        <is>
          <t>https://http2.mlstatic.com/D_NQ_NP_992865-MLB113413921795_062026-F.webp</t>
        </is>
      </c>
      <c r="C284" t="inlineStr">
        <is>
          <t>P-promo</t>
        </is>
      </c>
      <c r="D284" t="b">
        <v>1</v>
      </c>
      <c r="E284" t="b">
        <v>0</v>
      </c>
      <c r="F284" t="inlineStr">
        <is>
          <t>none</t>
        </is>
      </c>
      <c r="G284" t="inlineStr"/>
      <c r="H284" t="inlineStr">
        <is>
          <t>low</t>
        </is>
      </c>
      <c r="I284" t="b">
        <v>0</v>
      </c>
      <c r="J284" t="b">
        <v>0</v>
      </c>
      <c r="K284" t="inlineStr"/>
      <c r="L284" t="inlineStr">
        <is>
          <t>DUPLA FACE
LEVE
50
PAGUE
40
10 GRATIS
8888
OVA
AGEM
Algodão
100%
ALGO
MACIDE S
ABSORVENTE
Naly
Plus
DISCOS DE
ALGODÃO
Malley
LIMPEZA SA PESS
REMOCA DE COSMET
RIGEN DO AL
MAC
50
ALGODÃO HIDRÓFILO
nog
extratos
da terra
35
ANOS
extratos
terra
extratics
terra
extratos
extratos
terra
CREME
ESFOLIAN
FACIA</t>
        </is>
      </c>
      <c r="M284" t="inlineStr"/>
    </row>
    <row r="285">
      <c r="A285">
        <f>IMAGE("https://http2.mlstatic.com/D_NQ_NP_898062-MLB113501551053_062026-F.webp")</f>
        <v/>
      </c>
      <c r="B285" t="inlineStr">
        <is>
          <t>https://http2.mlstatic.com/D_NQ_NP_898062-MLB113501551053_062026-F.webp</t>
        </is>
      </c>
      <c r="C285" t="inlineStr">
        <is>
          <t>P-promo</t>
        </is>
      </c>
      <c r="D285" t="b">
        <v>1</v>
      </c>
      <c r="E285" t="b">
        <v>1</v>
      </c>
      <c r="F285" t="inlineStr">
        <is>
          <t>promo</t>
        </is>
      </c>
      <c r="G285" t="inlineStr">
        <is>
          <t>MEGA OFERTA por tempo limitado</t>
        </is>
      </c>
      <c r="H285" t="inlineStr">
        <is>
          <t>high</t>
        </is>
      </c>
      <c r="I285" t="b">
        <v>1</v>
      </c>
      <c r="J285" t="b">
        <v>1</v>
      </c>
      <c r="K285" t="inlineStr"/>
      <c r="L285" t="inlineStr">
        <is>
          <t>mabes
P
Localiza
seminovos
MEGA
OFERTA
por tempo
limitado</t>
        </is>
      </c>
      <c r="M285" t="inlineStr"/>
    </row>
    <row r="286">
      <c r="A286">
        <f>IMAGE("https://http2.mlstatic.com/D_NQ_NP_627222-MLC113359324757_062026-F.webp")</f>
        <v/>
      </c>
      <c r="B286" t="inlineStr">
        <is>
          <t>https://http2.mlstatic.com/D_NQ_NP_627222-MLC113359324757_062026-F.webp</t>
        </is>
      </c>
      <c r="C286" t="inlineStr">
        <is>
          <t>P-promo</t>
        </is>
      </c>
      <c r="D286" t="b">
        <v>1</v>
      </c>
      <c r="E286" t="b">
        <v>1</v>
      </c>
      <c r="F286" t="inlineStr">
        <is>
          <t>badge</t>
        </is>
      </c>
      <c r="G286" t="inlineStr">
        <is>
          <t>un sello con texto como 'Recomendado' o 'Hot Sale' dibujado sobre la imagen</t>
        </is>
      </c>
      <c r="H286" t="inlineStr">
        <is>
          <t>medium</t>
        </is>
      </c>
      <c r="I286" t="b">
        <v>1</v>
      </c>
      <c r="J286" t="b">
        <v>1</v>
      </c>
      <c r="K286" t="inlineStr"/>
      <c r="L286" t="inlineStr">
        <is>
          <t>ALBUM + (1 SOBRE GRATIS)
OFFICIAL STICKER
COLLECTION
G
FIFA
WORLD CUP
2026
STICKER ALBUM ÁLBUM DE CROMOS
ALBUM D'AUTOCOLLANTS
PANINI
FIFA
WORLD CUP
2026
4242405005</t>
        </is>
      </c>
      <c r="M286" t="inlineStr"/>
    </row>
    <row r="287">
      <c r="A287">
        <f>IMAGE("https://http2.mlstatic.com/D_NQ_NP_861626-MLA99970226877_112025-F.webp")</f>
        <v/>
      </c>
      <c r="B287" t="inlineStr">
        <is>
          <t>https://http2.mlstatic.com/D_NQ_NP_861626-MLA99970226877_112025-F.webp</t>
        </is>
      </c>
      <c r="C287" t="inlineStr">
        <is>
          <t>P-promo</t>
        </is>
      </c>
      <c r="D287" t="b">
        <v>1</v>
      </c>
      <c r="E287" t="b">
        <v>1</v>
      </c>
      <c r="F287" t="inlineStr">
        <is>
          <t>promo</t>
        </is>
      </c>
      <c r="G287" t="inlineStr">
        <is>
          <t>OFERTA</t>
        </is>
      </c>
      <c r="H287" t="inlineStr">
        <is>
          <t>high</t>
        </is>
      </c>
      <c r="I287" t="b">
        <v>1</v>
      </c>
      <c r="J287" t="b">
        <v>1</v>
      </c>
      <c r="K287" t="inlineStr"/>
      <c r="L287" t="inlineStr">
        <is>
          <t>OFERTA
cobrecom</t>
        </is>
      </c>
      <c r="M287" t="inlineStr"/>
    </row>
    <row r="288">
      <c r="A288">
        <f>IMAGE("https://http2.mlstatic.com/D_NQ_NP_783903-MLB113608279645_062026-F.webp")</f>
        <v/>
      </c>
      <c r="B288" t="inlineStr">
        <is>
          <t>https://http2.mlstatic.com/D_NQ_NP_783903-MLB113608279645_062026-F.webp</t>
        </is>
      </c>
      <c r="C288" t="inlineStr">
        <is>
          <t>P-promo</t>
        </is>
      </c>
      <c r="D288" t="b">
        <v>1</v>
      </c>
      <c r="E288" t="b">
        <v>1</v>
      </c>
      <c r="F288" t="inlineStr">
        <is>
          <t>badge</t>
        </is>
      </c>
      <c r="G288" t="inlineStr">
        <is>
          <t>un sello que imita una etiqueta oficial de MercadoLibre</t>
        </is>
      </c>
      <c r="H288" t="inlineStr">
        <is>
          <t>medium</t>
        </is>
      </c>
      <c r="I288" t="b">
        <v>0</v>
      </c>
      <c r="J288" t="b">
        <v>0</v>
      </c>
      <c r="K288" t="inlineStr"/>
      <c r="L288" t="inlineStr">
        <is>
          <t>Um diário
para
recomeçar
As vezes a
vida pode ser
implacável!
James
Patterson
Autor mais vendido do The New York Times
BUZZ</t>
        </is>
      </c>
      <c r="M288" t="inlineStr"/>
    </row>
    <row r="289">
      <c r="A289">
        <f>IMAGE("https://http2.mlstatic.com/D_NQ_NP_749185-MLC113359351137_062026-F.webp")</f>
        <v/>
      </c>
      <c r="B289" t="inlineStr">
        <is>
          <t>https://http2.mlstatic.com/D_NQ_NP_749185-MLC113359351137_062026-F.webp</t>
        </is>
      </c>
      <c r="C289" t="inlineStr">
        <is>
          <t>P-promo</t>
        </is>
      </c>
      <c r="D289" t="b">
        <v>1</v>
      </c>
      <c r="E289" t="b">
        <v>1</v>
      </c>
      <c r="F289" t="inlineStr">
        <is>
          <t>badge</t>
        </is>
      </c>
      <c r="G289" t="inlineStr">
        <is>
          <t>un sello con texto como 'Recomendado' o 'Hot Sale' dibujado sobre la imagen</t>
        </is>
      </c>
      <c r="H289" t="inlineStr">
        <is>
          <t>medium</t>
        </is>
      </c>
      <c r="I289" t="b">
        <v>1</v>
      </c>
      <c r="J289" t="b">
        <v>1</v>
      </c>
      <c r="K289" t="inlineStr"/>
      <c r="L289" t="inlineStr">
        <is>
          <t>ALBUM + (1 SOBRE GRATIS)
OFFICIAL STICKER
COLLECTION
G
FIFA
WORLD CUP
2026
STICKER ALBUM ÁLBUM DE CROMOS
ALBUM D'AUTOCOLLANTS
PANINI
FIFA
WORLD CUP
2026
4242405005</t>
        </is>
      </c>
      <c r="M289" t="inlineStr"/>
    </row>
    <row r="290">
      <c r="A290">
        <f>IMAGE("https://http2.mlstatic.com/D_NQ_NP_864496-MLB112216778496_062026-F.webp")</f>
        <v/>
      </c>
      <c r="B290" t="inlineStr">
        <is>
          <t>https://http2.mlstatic.com/D_NQ_NP_864496-MLB112216778496_062026-F.webp</t>
        </is>
      </c>
      <c r="C290" t="inlineStr">
        <is>
          <t>P-promo</t>
        </is>
      </c>
      <c r="D290" t="b">
        <v>1</v>
      </c>
      <c r="E290" t="b">
        <v>1</v>
      </c>
      <c r="F290" t="inlineStr">
        <is>
          <t>promo</t>
        </is>
      </c>
      <c r="G290" t="inlineStr">
        <is>
          <t>MEGA OFERTA por tempo limitado</t>
        </is>
      </c>
      <c r="H290" t="inlineStr">
        <is>
          <t>high</t>
        </is>
      </c>
      <c r="I290" t="b">
        <v>1</v>
      </c>
      <c r="J290" t="b">
        <v>1</v>
      </c>
      <c r="K290" t="inlineStr"/>
      <c r="L290" t="inlineStr">
        <is>
          <t>Localiza
seminovos
Localiza
seminovos
MEGA
OFERTA
por tempo
limitado</t>
        </is>
      </c>
      <c r="M290" t="inlineStr"/>
    </row>
    <row r="291">
      <c r="A291">
        <f>IMAGE("https://http2.mlstatic.com/D_NQ_NP_711229-MLA79806508467_102024-F.webp")</f>
        <v/>
      </c>
      <c r="B291" t="inlineStr">
        <is>
          <t>https://http2.mlstatic.com/D_NQ_NP_711229-MLA79806508467_102024-F.webp</t>
        </is>
      </c>
      <c r="C291" t="inlineStr">
        <is>
          <t>P-promo</t>
        </is>
      </c>
      <c r="D291" t="b">
        <v>1</v>
      </c>
      <c r="E291" t="b">
        <v>1</v>
      </c>
      <c r="F291" t="inlineStr">
        <is>
          <t>badge</t>
        </is>
      </c>
      <c r="G291" t="inlineStr">
        <is>
          <t>un sello que imita una etiqueta oficial de MercadoLibre</t>
        </is>
      </c>
      <c r="H291" t="inlineStr">
        <is>
          <t>medium</t>
        </is>
      </c>
      <c r="I291" t="b">
        <v>0</v>
      </c>
      <c r="J291" t="b">
        <v>0</v>
      </c>
      <c r="K291" t="inlineStr"/>
      <c r="L291" t="inlineStr">
        <is>
          <t>SERVICIOS SOCIOCULTURALES
YA LA COMUNIDAD
G.S. Promoción de Igualdad
de Género
①+
Prevención de la
violencia de género
María de Gracia Peña Ruiz
María del Rosario Tercero Cotillas
Belén Labián Fernández-Pacheco
EDITORIAL
SINTESIS</t>
        </is>
      </c>
      <c r="M291" t="inlineStr"/>
    </row>
    <row r="292">
      <c r="A292">
        <f>IMAGE("https://http2.mlstatic.com/D_NQ_NP_646341-MLB113516165059_062026-F.webp")</f>
        <v/>
      </c>
      <c r="B292" t="inlineStr">
        <is>
          <t>https://http2.mlstatic.com/D_NQ_NP_646341-MLB113516165059_062026-F.webp</t>
        </is>
      </c>
      <c r="C292" t="inlineStr">
        <is>
          <t>P-promo</t>
        </is>
      </c>
      <c r="D292" t="b">
        <v>1</v>
      </c>
      <c r="E292" t="inlineStr"/>
      <c r="F292" t="inlineStr"/>
      <c r="G292" t="inlineStr">
        <is>
          <t>PARSE_ERROR: !!!!!!!!!!!!!!!!!!!!!!!!!!!!!!!!!!!!!!!!!!!!!!!!!!!!!!!!!!!!!!!!!!!!!!!!!!!!!!!!!!!!!!!!!!!!!!!!!!!!!!!!!!!!!!!!!!!!!!!!!!!!!!!!!!!!!!!!!!!!!!!!!!!!!!!!!!!!!!!!!!!!!!!!!!!!!!!!!!!!!!!!!!!!!!!!!!!!!!!!</t>
        </is>
      </c>
      <c r="H292" t="inlineStr"/>
      <c r="I292" t="b">
        <v>0</v>
      </c>
      <c r="J292" t="b">
        <v>0</v>
      </c>
      <c r="K292" t="inlineStr"/>
      <c r="L292" t="inlineStr">
        <is>
          <t>VENDE
_car_automoveis
Gus-Car
AUTOMÓVEIS
te as ofertas
ar a chave!
antander
%
Gus-Car
AUTOMO</t>
        </is>
      </c>
      <c r="M292" t="inlineStr"/>
    </row>
    <row r="293">
      <c r="A293">
        <f>IMAGE("https://http2.mlstatic.com/D_NQ_NP_923256-MLC113519086621_062026-F.webp")</f>
        <v/>
      </c>
      <c r="B293" t="inlineStr">
        <is>
          <t>https://http2.mlstatic.com/D_NQ_NP_923256-MLC113519086621_062026-F.webp</t>
        </is>
      </c>
      <c r="C293" t="inlineStr">
        <is>
          <t>P-promo</t>
        </is>
      </c>
      <c r="D293" t="b">
        <v>1</v>
      </c>
      <c r="E293" t="b">
        <v>1</v>
      </c>
      <c r="F293" t="inlineStr">
        <is>
          <t>badge</t>
        </is>
      </c>
      <c r="G293" t="inlineStr">
        <is>
          <t>GOAT 10</t>
        </is>
      </c>
      <c r="H293" t="inlineStr">
        <is>
          <t>medium</t>
        </is>
      </c>
      <c r="I293" t="b">
        <v>1</v>
      </c>
      <c r="J293" t="b">
        <v>1</v>
      </c>
      <c r="K293" t="inlineStr"/>
      <c r="L293" t="inlineStr">
        <is>
          <t>OFFICIAL STICKER COLLECTION
GOAT 10-
FIFA
WORLD CUP
2026
VISA
&amp; 101
24 06 1987 1.70
728
GRATIS!
FIFA
WORLD CUP
2026
FARINT</t>
        </is>
      </c>
      <c r="M293" t="inlineStr"/>
    </row>
    <row r="294">
      <c r="A294">
        <f>IMAGE("https://http2.mlstatic.com/D_NQ_NP_855905-MLA113397558917_062026-F.webp")</f>
        <v/>
      </c>
      <c r="B294" t="inlineStr">
        <is>
          <t>https://http2.mlstatic.com/D_NQ_NP_855905-MLA113397558917_062026-F.webp</t>
        </is>
      </c>
      <c r="C294" t="inlineStr">
        <is>
          <t>P-promo</t>
        </is>
      </c>
      <c r="D294" t="b">
        <v>1</v>
      </c>
      <c r="E294" t="b">
        <v>1</v>
      </c>
      <c r="F294" t="inlineStr">
        <is>
          <t>badge</t>
        </is>
      </c>
      <c r="G294" t="inlineStr">
        <is>
          <t>unids</t>
        </is>
      </c>
      <c r="H294" t="inlineStr">
        <is>
          <t>medium</t>
        </is>
      </c>
      <c r="I294" t="b">
        <v>0</v>
      </c>
      <c r="J294" t="b">
        <v>0</v>
      </c>
      <c r="K294" t="inlineStr"/>
      <c r="L294" t="inlineStr">
        <is>
          <t>4-5
anos
VAMOS DESCOBRIR AS CORES?
UNICÓRNIOS
OFERTA
13
PINCEL
5
O MEU LIVRO DE PINTURA POR NÚMEROS
ww</t>
        </is>
      </c>
      <c r="M294" t="inlineStr"/>
    </row>
    <row r="295">
      <c r="A295">
        <f>IMAGE("https://http2.mlstatic.com/D_NQ_NP_604651-MCO113170518851_062026-F.webp")</f>
        <v/>
      </c>
      <c r="B295" t="inlineStr">
        <is>
          <t>https://http2.mlstatic.com/D_NQ_NP_604651-MCO113170518851_062026-F.webp</t>
        </is>
      </c>
      <c r="C295" t="inlineStr">
        <is>
          <t>P-promo</t>
        </is>
      </c>
      <c r="D295" t="b">
        <v>1</v>
      </c>
      <c r="E295" t="b">
        <v>1</v>
      </c>
      <c r="F295" t="inlineStr">
        <is>
          <t>badge</t>
        </is>
      </c>
      <c r="G295" t="inlineStr">
        <is>
          <t>MAD360</t>
        </is>
      </c>
      <c r="H295" t="inlineStr">
        <is>
          <t>medium</t>
        </is>
      </c>
      <c r="I295" t="b">
        <v>1</v>
      </c>
      <c r="J295" t="b">
        <v>1</v>
      </c>
      <c r="K295" t="inlineStr"/>
      <c r="L295" t="inlineStr">
        <is>
          <t>ADMINISTRACIÓN GENERAL DEL ESTADO
Copilot
65
Manual de Informática
Básica y Ofimática
(Windows 11)
Curso MAD360
Accede GRATIS 30 días
MADTEST: Test nivel PRO
Foro entre opositores
Vídeos y esquemas
Temario en formato digital
MɅ5</t>
        </is>
      </c>
      <c r="M295" t="inlineStr"/>
    </row>
    <row r="296">
      <c r="A296">
        <f>IMAGE("https://http2.mlstatic.com/D_NQ_NP_969451-MLM112360145038_062026-F.webp")</f>
        <v/>
      </c>
      <c r="B296" t="inlineStr">
        <is>
          <t>https://http2.mlstatic.com/D_NQ_NP_969451-MLM112360145038_062026-F.webp</t>
        </is>
      </c>
      <c r="C296" t="inlineStr">
        <is>
          <t>P-promo</t>
        </is>
      </c>
      <c r="D296" t="b">
        <v>1</v>
      </c>
      <c r="E296" t="b">
        <v>0</v>
      </c>
      <c r="F296" t="inlineStr">
        <is>
          <t>none</t>
        </is>
      </c>
      <c r="G296" t="inlineStr"/>
      <c r="H296" t="inlineStr">
        <is>
          <t>high</t>
        </is>
      </c>
      <c r="I296" t="b">
        <v>0</v>
      </c>
      <c r="J296" t="b">
        <v>0</v>
      </c>
      <c r="K296" t="inlineStr"/>
      <c r="L296" t="inlineStr">
        <is>
          <t>Colección
Derecho Tributario
y Fiscal
SERIO PRÁCTICO
Lectura
gratis en
la nube
de representante legal
Designación
para residentes
en el extranjero
Miguel Angel Márquez Román
tirant
to blanch</t>
        </is>
      </c>
      <c r="M296" t="inlineStr"/>
    </row>
    <row r="297">
      <c r="A297">
        <f>IMAGE("https://http2.mlstatic.com/D_NQ_NP_635002-MLA93522112750_102025-F.webp")</f>
        <v/>
      </c>
      <c r="B297" t="inlineStr">
        <is>
          <t>https://http2.mlstatic.com/D_NQ_NP_635002-MLA93522112750_102025-F.webp</t>
        </is>
      </c>
      <c r="C297" t="inlineStr">
        <is>
          <t>P-promo</t>
        </is>
      </c>
      <c r="D297" t="b">
        <v>1</v>
      </c>
      <c r="E297" t="b">
        <v>0</v>
      </c>
      <c r="F297" t="inlineStr">
        <is>
          <t>none</t>
        </is>
      </c>
      <c r="G297" t="inlineStr"/>
      <c r="H297" t="inlineStr">
        <is>
          <t>high</t>
        </is>
      </c>
      <c r="I297" t="b">
        <v>0</v>
      </c>
      <c r="J297" t="b">
        <v>0</v>
      </c>
      <c r="K297" t="inlineStr"/>
      <c r="L297" t="inlineStr">
        <is>
          <t>O livro Interação: o poder de conectar-se em cursos on-line lança um novo olhar
sobre a educação mediada pelas tecnologias, notadamente pelas tecnologias
digitais de informação e comunicação. Nessa realidade em vertiginosa
expansão, empreendedores, gestores, professores, alunos e interessados em
des</t>
        </is>
      </c>
      <c r="M297" t="inlineStr"/>
    </row>
    <row r="298">
      <c r="A298">
        <f>IMAGE("https://http2.mlstatic.com/D_NQ_NP_715879-CBT113113963003_062026-F.webp")</f>
        <v/>
      </c>
      <c r="B298" t="inlineStr">
        <is>
          <t>https://http2.mlstatic.com/D_NQ_NP_715879-CBT113113963003_062026-F.webp</t>
        </is>
      </c>
      <c r="C298" t="inlineStr">
        <is>
          <t>P-promo</t>
        </is>
      </c>
      <c r="D298" t="b">
        <v>1</v>
      </c>
      <c r="E298" t="b">
        <v>0</v>
      </c>
      <c r="F298" t="inlineStr">
        <is>
          <t>none</t>
        </is>
      </c>
      <c r="G298" t="inlineStr"/>
      <c r="H298" t="inlineStr">
        <is>
          <t>low</t>
        </is>
      </c>
      <c r="I298" t="b">
        <v>0</v>
      </c>
      <c r="J298" t="b">
        <v>0</v>
      </c>
      <c r="K298" t="inlineStr"/>
      <c r="L298" t="inlineStr">
        <is>
          <t xml:space="preserve">FOR NORMAL TO DRY SKIN TYPES
DR. ALTHEA
147
BARRIER CREAM
Persea Gratissima (Avocado) Fruit
Extract/Brassica Oleracea Acephala
Leaf Extract/Ceramide NP
[147 BARRIER CREAM ] 1 Patented Ingredient:
Paeonia Albiflora Flower Extract/4 Nutritional Care
Ingredients: Ceramide NP, Ceramide AS, Ceramide
AP, </t>
        </is>
      </c>
      <c r="M298" t="inlineStr"/>
    </row>
    <row r="299">
      <c r="A299">
        <f>IMAGE("https://http2.mlstatic.com/D_NQ_NP_821025-CBT109315785470_042026-F.webp")</f>
        <v/>
      </c>
      <c r="B299" t="inlineStr">
        <is>
          <t>https://http2.mlstatic.com/D_NQ_NP_821025-CBT109315785470_042026-F.webp</t>
        </is>
      </c>
      <c r="C299" t="inlineStr">
        <is>
          <t>P-promo</t>
        </is>
      </c>
      <c r="D299" t="b">
        <v>1</v>
      </c>
      <c r="E299" t="b">
        <v>1</v>
      </c>
      <c r="F299" t="inlineStr">
        <is>
          <t>badge</t>
        </is>
      </c>
      <c r="G299" t="inlineStr">
        <is>
          <t>Transparent gasket *1</t>
        </is>
      </c>
      <c r="H299" t="inlineStr">
        <is>
          <t>medium</t>
        </is>
      </c>
      <c r="I299" t="b">
        <v>1</v>
      </c>
      <c r="J299" t="b">
        <v>1</v>
      </c>
      <c r="K299" t="inlineStr"/>
      <c r="L299" t="inlineStr">
        <is>
          <t>NEWEST 2025 HOT SALE
Transparent gasket *1
RAP</t>
        </is>
      </c>
      <c r="M299" t="inlineStr"/>
    </row>
    <row r="300">
      <c r="A300">
        <f>IMAGE("https://http2.mlstatic.com/D_NQ_NP_675964-MLA112394581184_062026-F.webp")</f>
        <v/>
      </c>
      <c r="B300" t="inlineStr">
        <is>
          <t>https://http2.mlstatic.com/D_NQ_NP_675964-MLA112394581184_062026-F.webp</t>
        </is>
      </c>
      <c r="C300" t="inlineStr">
        <is>
          <t>P-promo</t>
        </is>
      </c>
      <c r="D300" t="b">
        <v>1</v>
      </c>
      <c r="E300" t="b">
        <v>1</v>
      </c>
      <c r="F300" t="inlineStr">
        <is>
          <t>promo</t>
        </is>
      </c>
      <c r="G300" t="inlineStr">
        <is>
          <t>Los servicios de radiodifusión deben mencionar título de las obras difundidas, autores e intérpretes antes o después de su emisión (Art. 1º/Resolución 063/COMFER 83)</t>
        </is>
      </c>
      <c r="H300" t="inlineStr">
        <is>
          <t>high</t>
        </is>
      </c>
      <c r="I300" t="b">
        <v>0</v>
      </c>
      <c r="J300" t="b">
        <v>0</v>
      </c>
      <c r="K300" t="inlineStr"/>
      <c r="L300" t="inlineStr">
        <is>
          <t>PRODUCTORES FONOGRAFICOS SOBRE LAS OBRAS REPRODUCIDAS EN ESTE DISCO. PROHIBIDA SU REPRODUCCION, SU
Disco Exclusivo para Promoción
Prohibida su Venta
PolyGram
LOS SERVICIOS DE RADIODIFUSION DEBEN MEN-
CIONAR TITULO DE LAS OBRAS DIFUNDIDAS, AU-
TORES E INTERPRETES ANTES O DESPUES DE SU
EMISION (ART. 1</t>
        </is>
      </c>
      <c r="M300" t="inlineStr"/>
    </row>
    <row r="301">
      <c r="A301">
        <f>IMAGE("https://http2.mlstatic.com/D_NQ_NP_662845-MLC112213082304_062026-F.webp")</f>
        <v/>
      </c>
      <c r="B301" t="inlineStr">
        <is>
          <t>https://http2.mlstatic.com/D_NQ_NP_662845-MLC112213082304_062026-F.webp</t>
        </is>
      </c>
      <c r="C301" t="inlineStr">
        <is>
          <t>P-promo</t>
        </is>
      </c>
      <c r="D301" t="b">
        <v>1</v>
      </c>
      <c r="E301" t="b">
        <v>1</v>
      </c>
      <c r="F301" t="inlineStr">
        <is>
          <t>badge</t>
        </is>
      </c>
      <c r="G301" t="inlineStr">
        <is>
          <t>un sello con texto como 'Recomendado' o 'Hot Sale' dibujado sobre la imagen</t>
        </is>
      </c>
      <c r="H301" t="inlineStr">
        <is>
          <t>medium</t>
        </is>
      </c>
      <c r="I301" t="b">
        <v>1</v>
      </c>
      <c r="J301" t="b">
        <v>1</v>
      </c>
      <c r="K301" t="inlineStr"/>
      <c r="L301" t="inlineStr">
        <is>
          <t>ALBUM + (1 SOBRE GRATIS)
OFFICIAL STICKER
COLLECTION
G
FIFA
WORLD CUP
2026
STICKER ALBUM ÁLBUM DE CROMOS
ALBUM D'AUTOCOLLANTS
PANINI
FIFA
WORLD CUP
2026
4242405005</t>
        </is>
      </c>
      <c r="M301" t="inlineStr"/>
    </row>
    <row r="302">
      <c r="A302">
        <f>IMAGE("https://http2.mlstatic.com/D_NQ_NP_765699-MLC113519075321_062026-F.webp")</f>
        <v/>
      </c>
      <c r="B302" t="inlineStr">
        <is>
          <t>https://http2.mlstatic.com/D_NQ_NP_765699-MLC113519075321_062026-F.webp</t>
        </is>
      </c>
      <c r="C302" t="inlineStr">
        <is>
          <t>P-promo</t>
        </is>
      </c>
      <c r="D302" t="b">
        <v>1</v>
      </c>
      <c r="E302" t="b">
        <v>1</v>
      </c>
      <c r="F302" t="inlineStr">
        <is>
          <t>badge</t>
        </is>
      </c>
      <c r="G302" t="inlineStr">
        <is>
          <t>GOAT 10</t>
        </is>
      </c>
      <c r="H302" t="inlineStr">
        <is>
          <t>medium</t>
        </is>
      </c>
      <c r="I302" t="b">
        <v>1</v>
      </c>
      <c r="J302" t="b">
        <v>1</v>
      </c>
      <c r="K302" t="inlineStr"/>
      <c r="L302" t="inlineStr">
        <is>
          <t>OFFICIAL STICKER COLLECTION
GOAT 10-
FIFA
WORLD CUP
2026
VISA
&amp; 101
24 06 1987 1.70
728
GRATIS!
FIFA
WORLD CUP
2026
FARINT</t>
        </is>
      </c>
      <c r="M302" t="inlineStr"/>
    </row>
    <row r="303">
      <c r="A303">
        <f>IMAGE("https://http2.mlstatic.com/D_NQ_NP_652253-MLB113439286731_062026-F.webp")</f>
        <v/>
      </c>
      <c r="B303" t="inlineStr">
        <is>
          <t>https://http2.mlstatic.com/D_NQ_NP_652253-MLB113439286731_062026-F.webp</t>
        </is>
      </c>
      <c r="C303" t="inlineStr">
        <is>
          <t>P-promo</t>
        </is>
      </c>
      <c r="D303" t="b">
        <v>1</v>
      </c>
      <c r="E303" t="b">
        <v>1</v>
      </c>
      <c r="F303" t="inlineStr">
        <is>
          <t>promo</t>
        </is>
      </c>
      <c r="G303" t="inlineStr">
        <is>
          <t>MEGA OFERTA por tempo limitado</t>
        </is>
      </c>
      <c r="H303" t="inlineStr">
        <is>
          <t>high</t>
        </is>
      </c>
      <c r="I303" t="b">
        <v>1</v>
      </c>
      <c r="J303" t="b">
        <v>1</v>
      </c>
      <c r="K303" t="inlineStr"/>
      <c r="L303" t="inlineStr">
        <is>
          <t>voodizo
seminovos
Localiza
seminovos
MEGA
OFERTA
por tempo
limitado</t>
        </is>
      </c>
      <c r="M303" t="inlineStr"/>
    </row>
    <row r="304">
      <c r="A304">
        <f>IMAGE("https://http2.mlstatic.com/D_NQ_NP_742947-MLB112262095560_062026-F.webp")</f>
        <v/>
      </c>
      <c r="B304" t="inlineStr">
        <is>
          <t>https://http2.mlstatic.com/D_NQ_NP_742947-MLB112262095560_062026-F.webp</t>
        </is>
      </c>
      <c r="C304" t="inlineStr">
        <is>
          <t>P-promo</t>
        </is>
      </c>
      <c r="D304" t="b">
        <v>1</v>
      </c>
      <c r="E304" t="b">
        <v>0</v>
      </c>
      <c r="F304" t="inlineStr">
        <is>
          <t>none</t>
        </is>
      </c>
      <c r="G304" t="inlineStr"/>
      <c r="H304" t="inlineStr">
        <is>
          <t>low</t>
        </is>
      </c>
      <c r="I304" t="b">
        <v>0</v>
      </c>
      <c r="J304" t="b">
        <v>0</v>
      </c>
      <c r="K304" t="inlineStr"/>
      <c r="L304" t="inlineStr">
        <is>
          <t xml:space="preserve">FOR NORMAL TO DRY SKIN TYPES
DR. ALTHEA
147
BARRIER CREAM
Persea Gratissima (Avocado) Fruit
Extract/Brassica Oleracea Acephala
Leaf Extract/Ceramide NP
[147 BARRIER CREAM ] 1 Patented Ingredient:
Paeonia Albiflora Flower Extract/4 Nutritional Care
Ingredients: Ceramide NP, Ceramide AS, Ceramide
AP, </t>
        </is>
      </c>
      <c r="M304" t="inlineStr"/>
    </row>
    <row r="305">
      <c r="A305">
        <f>IMAGE("https://http2.mlstatic.com/D_NQ_NP_611885-MLB112373738314_062026-F.webp")</f>
        <v/>
      </c>
      <c r="B305" t="inlineStr">
        <is>
          <t>https://http2.mlstatic.com/D_NQ_NP_611885-MLB112373738314_062026-F.webp</t>
        </is>
      </c>
      <c r="C305" t="inlineStr">
        <is>
          <t>P-promo</t>
        </is>
      </c>
      <c r="D305" t="b">
        <v>1</v>
      </c>
      <c r="E305" t="b">
        <v>1</v>
      </c>
      <c r="F305" t="inlineStr">
        <is>
          <t>promo</t>
        </is>
      </c>
      <c r="G305" t="inlineStr">
        <is>
          <t>MEGA OFERTA por tempo limitado</t>
        </is>
      </c>
      <c r="H305" t="inlineStr">
        <is>
          <t>high</t>
        </is>
      </c>
      <c r="I305" t="b">
        <v>1</v>
      </c>
      <c r="J305" t="b">
        <v>1</v>
      </c>
      <c r="K305" t="inlineStr"/>
      <c r="L305" t="inlineStr">
        <is>
          <t>H
seminovos
Localiza
seminovos
MEGA
OFERTA
por tempo
limitado</t>
        </is>
      </c>
      <c r="M305" t="inlineStr"/>
    </row>
    <row r="306">
      <c r="A306">
        <f>IMAGE("https://http2.mlstatic.com/D_NQ_NP_797548-MLC112213033476_062026-F.webp")</f>
        <v/>
      </c>
      <c r="B306" t="inlineStr">
        <is>
          <t>https://http2.mlstatic.com/D_NQ_NP_797548-MLC112213033476_062026-F.webp</t>
        </is>
      </c>
      <c r="C306" t="inlineStr">
        <is>
          <t>P-promo</t>
        </is>
      </c>
      <c r="D306" t="b">
        <v>1</v>
      </c>
      <c r="E306" t="b">
        <v>1</v>
      </c>
      <c r="F306" t="inlineStr">
        <is>
          <t>badge</t>
        </is>
      </c>
      <c r="G306" t="inlineStr">
        <is>
          <t>un sello con texto como 'Recomendado' o 'Hot Sale' dibujado sobre la imagen</t>
        </is>
      </c>
      <c r="H306" t="inlineStr">
        <is>
          <t>medium</t>
        </is>
      </c>
      <c r="I306" t="b">
        <v>1</v>
      </c>
      <c r="J306" t="b">
        <v>1</v>
      </c>
      <c r="K306" t="inlineStr"/>
      <c r="L306" t="inlineStr">
        <is>
          <t>ALBUM + (1 SOBRE GRATIS)
OFFICIAL STICKER
COLLECTION
G
FIFA
WORLD CUP
2026
STICKER ALBUM ÁLBUM DE CROMOS
ALBUM D'AUTOCOLLANTS
PANINI
FIFA
WORLD CUP
2026
4242405005</t>
        </is>
      </c>
      <c r="M306" t="inlineStr"/>
    </row>
    <row r="307">
      <c r="A307">
        <f>IMAGE("https://http2.mlstatic.com/D_NQ_NP_694884-MLC112323764470_062026-F.webp")</f>
        <v/>
      </c>
      <c r="B307" t="inlineStr">
        <is>
          <t>https://http2.mlstatic.com/D_NQ_NP_694884-MLC112323764470_062026-F.webp</t>
        </is>
      </c>
      <c r="C307" t="inlineStr">
        <is>
          <t>P-promo</t>
        </is>
      </c>
      <c r="D307" t="b">
        <v>1</v>
      </c>
      <c r="E307" t="b">
        <v>1</v>
      </c>
      <c r="F307" t="inlineStr">
        <is>
          <t>badge</t>
        </is>
      </c>
      <c r="G307" t="inlineStr">
        <is>
          <t>text overlay with 'GOAT 10' and 'Free!'</t>
        </is>
      </c>
      <c r="H307" t="inlineStr">
        <is>
          <t>high</t>
        </is>
      </c>
      <c r="I307" t="b">
        <v>1</v>
      </c>
      <c r="J307" t="b">
        <v>1</v>
      </c>
      <c r="K307" t="inlineStr"/>
      <c r="L307" t="inlineStr">
        <is>
          <t>Combo Imperdible
(1) Album Tapa Blanda
+1 Sobre de Barajitas
+ Portaretrato y Foto Del
numero 1 del mundo
OFFICIAL STICKER COLLECTION
GOAT 10
FIFA
WORLD CUP
2026
VISA
A
210
GRATIS
773
2026</t>
        </is>
      </c>
      <c r="M307" t="inlineStr"/>
    </row>
    <row r="308">
      <c r="A308">
        <f>IMAGE("https://http2.mlstatic.com/D_NQ_NP_739995-MLB113541125731_062026-F.webp")</f>
        <v/>
      </c>
      <c r="B308" t="inlineStr">
        <is>
          <t>https://http2.mlstatic.com/D_NQ_NP_739995-MLB113541125731_062026-F.webp</t>
        </is>
      </c>
      <c r="C308" t="inlineStr">
        <is>
          <t>P-promo</t>
        </is>
      </c>
      <c r="D308" t="b">
        <v>1</v>
      </c>
      <c r="E308" t="b">
        <v>1</v>
      </c>
      <c r="F308" t="inlineStr">
        <is>
          <t>promo</t>
        </is>
      </c>
      <c r="G308" t="inlineStr">
        <is>
          <t>MEGA OFERTA por tempo limitado</t>
        </is>
      </c>
      <c r="H308" t="inlineStr">
        <is>
          <t>high</t>
        </is>
      </c>
      <c r="I308" t="b">
        <v>1</v>
      </c>
      <c r="J308" t="b">
        <v>1</v>
      </c>
      <c r="K308" t="inlineStr"/>
      <c r="L308" t="inlineStr">
        <is>
          <t>Localiza
seminovos
MEGA
OFERTA
por tempo
limitado</t>
        </is>
      </c>
      <c r="M308" t="inlineStr"/>
    </row>
    <row r="309">
      <c r="A309">
        <f>IMAGE("https://http2.mlstatic.com/D_NQ_NP_896404-MLB113533688475_062026-F.webp")</f>
        <v/>
      </c>
      <c r="B309" t="inlineStr">
        <is>
          <t>https://http2.mlstatic.com/D_NQ_NP_896404-MLB113533688475_062026-F.webp</t>
        </is>
      </c>
      <c r="C309" t="inlineStr">
        <is>
          <t>P-promo</t>
        </is>
      </c>
      <c r="D309" t="b">
        <v>1</v>
      </c>
      <c r="E309" t="b">
        <v>0</v>
      </c>
      <c r="F309" t="inlineStr">
        <is>
          <t>none</t>
        </is>
      </c>
      <c r="G309" t="inlineStr"/>
      <c r="H309" t="inlineStr">
        <is>
          <t>high</t>
        </is>
      </c>
      <c r="I309" t="b">
        <v>0</v>
      </c>
      <c r="J309" t="b">
        <v>0</v>
      </c>
      <c r="K309" t="inlineStr"/>
      <c r="L309" t="inlineStr">
        <is>
          <t>Best-seller do New York Times
DA TRILOGIA CROSSFIRE
Primeiro lugar
na lista dos mais
vendidos do
New York Times
Autora número
nas listas
internacionais de
mais vendidos
Ele me possuiu
e eu fiquei
obcecada...
SYLVIA DAY
Toda
sua
SEGUNDO
VOLUME DA
TRILOGIA
CROSSFIRE
SYLVIA DAY
Profundamente
O doce e p</t>
        </is>
      </c>
      <c r="M309" t="inlineStr"/>
    </row>
    <row r="310">
      <c r="A310">
        <f>IMAGE("https://http2.mlstatic.com/D_NQ_NP_856074-MCO112423962036_062026-F.webp")</f>
        <v/>
      </c>
      <c r="B310" t="inlineStr">
        <is>
          <t>https://http2.mlstatic.com/D_NQ_NP_856074-MCO112423962036_062026-F.webp</t>
        </is>
      </c>
      <c r="C310" t="inlineStr">
        <is>
          <t>P-promo</t>
        </is>
      </c>
      <c r="D310" t="b">
        <v>1</v>
      </c>
      <c r="E310" t="b">
        <v>1</v>
      </c>
      <c r="F310" t="inlineStr">
        <is>
          <t>delivery</t>
        </is>
      </c>
      <c r="G310" t="inlineStr">
        <is>
          <t>Envío gratis</t>
        </is>
      </c>
      <c r="H310" t="inlineStr">
        <is>
          <t>high</t>
        </is>
      </c>
      <c r="I310" t="b">
        <v>1</v>
      </c>
      <c r="J310" t="b">
        <v>1</v>
      </c>
      <c r="K310" t="inlineStr"/>
      <c r="L310" t="inlineStr">
        <is>
          <t>Envío gratis*
alla de ventilación
en los laterales
eno individual
n las ruedas
75 cm
78 cm
priori
119 cm
zoom
110 cm</t>
        </is>
      </c>
      <c r="M310" t="inlineStr"/>
    </row>
    <row r="311">
      <c r="A311">
        <f>IMAGE("https://http2.mlstatic.com/D_NQ_NP_909767-MLB113441400437_062026-F.webp")</f>
        <v/>
      </c>
      <c r="B311" t="inlineStr">
        <is>
          <t>https://http2.mlstatic.com/D_NQ_NP_909767-MLB113441400437_062026-F.webp</t>
        </is>
      </c>
      <c r="C311" t="inlineStr">
        <is>
          <t>P-promo</t>
        </is>
      </c>
      <c r="D311" t="b">
        <v>1</v>
      </c>
      <c r="E311" t="b">
        <v>1</v>
      </c>
      <c r="F311" t="inlineStr">
        <is>
          <t>promo</t>
        </is>
      </c>
      <c r="G311" t="inlineStr">
        <is>
          <t>MEGA OFERTA por tempo limitado</t>
        </is>
      </c>
      <c r="H311" t="inlineStr">
        <is>
          <t>high</t>
        </is>
      </c>
      <c r="I311" t="b">
        <v>1</v>
      </c>
      <c r="J311" t="b">
        <v>1</v>
      </c>
      <c r="K311" t="inlineStr"/>
      <c r="L311" t="inlineStr">
        <is>
          <t>unicors
Localiza
seminovos
MEGA
OFERTA
por tempo
limitado</t>
        </is>
      </c>
      <c r="M311" t="inlineStr"/>
    </row>
    <row r="312">
      <c r="A312">
        <f>IMAGE("https://http2.mlstatic.com/D_NQ_NP_822263-MLB113607567909_062026-F.webp")</f>
        <v/>
      </c>
      <c r="B312" t="inlineStr">
        <is>
          <t>https://http2.mlstatic.com/D_NQ_NP_822263-MLB113607567909_062026-F.webp</t>
        </is>
      </c>
      <c r="C312" t="inlineStr">
        <is>
          <t>P-promo</t>
        </is>
      </c>
      <c r="D312" t="b">
        <v>1</v>
      </c>
      <c r="E312" t="b">
        <v>1</v>
      </c>
      <c r="F312" t="inlineStr">
        <is>
          <t>badge</t>
        </is>
      </c>
      <c r="G312" t="inlineStr">
        <is>
          <t>segurança que dá lucro</t>
        </is>
      </c>
      <c r="H312" t="inlineStr">
        <is>
          <t>medium</t>
        </is>
      </c>
      <c r="I312" t="b">
        <v>0</v>
      </c>
      <c r="J312" t="b">
        <v>0</v>
      </c>
      <c r="K312" t="inlineStr"/>
      <c r="L312" t="inlineStr">
        <is>
          <t>PROTEJA
SEU NEGÓCIO
24 HORAS
CONTROLE SUA LOJA PELO CELULAR
14:32
←
Ao vivo
OFERTAS
ARROZ
FEIJÃO
da sodiaanisty
-00
SEGURANÇA
QUE DÁ LUCRO!
Ao vivo
Reprodução
Alarme Configuações
Alerta de movimento
Entrada da loja
14:32
$
- ÓLEO
AÇÚCAR
EVITE PERDAS
E FURTOS
MONITORAMENTO
24 MONITORAMENT
临
IDEAL PAR</t>
        </is>
      </c>
      <c r="M312" t="inlineStr"/>
    </row>
    <row r="313">
      <c r="A313">
        <f>IMAGE("https://http2.mlstatic.com/D_NQ_NP_848398-MLC113477609061_062026-F.webp")</f>
        <v/>
      </c>
      <c r="B313" t="inlineStr">
        <is>
          <t>https://http2.mlstatic.com/D_NQ_NP_848398-MLC113477609061_062026-F.webp</t>
        </is>
      </c>
      <c r="C313" t="inlineStr">
        <is>
          <t>P-promo</t>
        </is>
      </c>
      <c r="D313" t="b">
        <v>1</v>
      </c>
      <c r="E313" t="b">
        <v>1</v>
      </c>
      <c r="F313" t="inlineStr">
        <is>
          <t>badge</t>
        </is>
      </c>
      <c r="G313" t="inlineStr">
        <is>
          <t>text overlay with 'GOAT 10' and 'Free!'</t>
        </is>
      </c>
      <c r="H313" t="inlineStr">
        <is>
          <t>high</t>
        </is>
      </c>
      <c r="I313" t="b">
        <v>1</v>
      </c>
      <c r="J313" t="b">
        <v>1</v>
      </c>
      <c r="K313" t="inlineStr"/>
      <c r="L313" t="inlineStr">
        <is>
          <t>Combo Imperdible
(1) Album Tapa Blanda
+1 Sobre de Barajitas
+ Portaretrato y Foto Del
numero 1 del mundo
OFFICIAL STICKER COLLECTION
GOAT 10
FIFA
WORLD CUP
2026
VISA
A
210
GRATIS
773
2026</t>
        </is>
      </c>
      <c r="M313" t="inlineStr"/>
    </row>
    <row r="314">
      <c r="A314">
        <f>IMAGE("https://http2.mlstatic.com/D_NQ_NP_664173-MLC113359320653_062026-F.webp")</f>
        <v/>
      </c>
      <c r="B314" t="inlineStr">
        <is>
          <t>https://http2.mlstatic.com/D_NQ_NP_664173-MLC113359320653_062026-F.webp</t>
        </is>
      </c>
      <c r="C314" t="inlineStr">
        <is>
          <t>P-promo</t>
        </is>
      </c>
      <c r="D314" t="b">
        <v>1</v>
      </c>
      <c r="E314" t="b">
        <v>1</v>
      </c>
      <c r="F314" t="inlineStr">
        <is>
          <t>badge</t>
        </is>
      </c>
      <c r="G314" t="inlineStr">
        <is>
          <t>un sello con texto como 'Recomendado' o 'Hot Sale' dibujado sobre la imagen</t>
        </is>
      </c>
      <c r="H314" t="inlineStr">
        <is>
          <t>medium</t>
        </is>
      </c>
      <c r="I314" t="b">
        <v>1</v>
      </c>
      <c r="J314" t="b">
        <v>1</v>
      </c>
      <c r="K314" t="inlineStr"/>
      <c r="L314" t="inlineStr">
        <is>
          <t>ALBUM + (1 SOBRE GRATIS)
OFFICIAL STICKER
COLLECTION
G
FIFA
WORLD CUP
2026
STICKER ALBUM ÁLBUM DE CROMOS
ALBUM D'AUTOCOLLANTS
PANINI
FIFA
WORLD CUP
2026
4242405005</t>
        </is>
      </c>
      <c r="M314" t="inlineStr"/>
    </row>
    <row r="315">
      <c r="A315">
        <f>IMAGE("https://http2.mlstatic.com/D_NQ_NP_604340-MLC113359335253_062026-F.webp")</f>
        <v/>
      </c>
      <c r="B315" t="inlineStr">
        <is>
          <t>https://http2.mlstatic.com/D_NQ_NP_604340-MLC113359335253_062026-F.webp</t>
        </is>
      </c>
      <c r="C315" t="inlineStr">
        <is>
          <t>P-promo</t>
        </is>
      </c>
      <c r="D315" t="b">
        <v>1</v>
      </c>
      <c r="E315" t="b">
        <v>1</v>
      </c>
      <c r="F315" t="inlineStr">
        <is>
          <t>badge</t>
        </is>
      </c>
      <c r="G315" t="inlineStr">
        <is>
          <t>un sello con texto como 'Recomendado' o 'Hot Sale' dibujado sobre la imagen</t>
        </is>
      </c>
      <c r="H315" t="inlineStr">
        <is>
          <t>medium</t>
        </is>
      </c>
      <c r="I315" t="b">
        <v>1</v>
      </c>
      <c r="J315" t="b">
        <v>1</v>
      </c>
      <c r="K315" t="inlineStr"/>
      <c r="L315" t="inlineStr">
        <is>
          <t>ALBUM + (1 SOBRE GRATIS)
OFFICIAL STICKER
COLLECTION
G
FIFA
WORLD CUP
2026
STICKER ALBUM ÁLBUM DE CROMOS
ALBUM D'AUTOCOLLANTS
PANINI
FIFA
WORLD CUP
2026
4242405005</t>
        </is>
      </c>
      <c r="M315" t="inlineStr"/>
    </row>
    <row r="316">
      <c r="A316">
        <f>IMAGE("https://http2.mlstatic.com/D_NQ_NP_912520-MLB112216822742_062026-F.webp")</f>
        <v/>
      </c>
      <c r="B316" t="inlineStr">
        <is>
          <t>https://http2.mlstatic.com/D_NQ_NP_912520-MLB112216822742_062026-F.webp</t>
        </is>
      </c>
      <c r="C316" t="inlineStr">
        <is>
          <t>P-promo</t>
        </is>
      </c>
      <c r="D316" t="b">
        <v>1</v>
      </c>
      <c r="E316" t="b">
        <v>1</v>
      </c>
      <c r="F316" t="inlineStr">
        <is>
          <t>promo</t>
        </is>
      </c>
      <c r="G316" t="inlineStr">
        <is>
          <t>MEGA OFERTA por tempo limitado</t>
        </is>
      </c>
      <c r="H316" t="inlineStr">
        <is>
          <t>high</t>
        </is>
      </c>
      <c r="I316" t="b">
        <v>1</v>
      </c>
      <c r="J316" t="b">
        <v>1</v>
      </c>
      <c r="K316" t="inlineStr"/>
      <c r="L316" t="inlineStr">
        <is>
          <t>eminovos
Kamel megamix
Localiza
seminovos
MEGA
OFERTA
por tempo
limitado</t>
        </is>
      </c>
      <c r="M316" t="inlineStr"/>
    </row>
    <row r="317">
      <c r="A317">
        <f>IMAGE("https://http2.mlstatic.com/D_NQ_NP_980198-MLB112385613128_062026-F.webp")</f>
        <v/>
      </c>
      <c r="B317" t="inlineStr">
        <is>
          <t>https://http2.mlstatic.com/D_NQ_NP_980198-MLB112385613128_062026-F.webp</t>
        </is>
      </c>
      <c r="C317" t="inlineStr">
        <is>
          <t>P-promo</t>
        </is>
      </c>
      <c r="D317" t="b">
        <v>1</v>
      </c>
      <c r="E317" t="b">
        <v>1</v>
      </c>
      <c r="F317" t="inlineStr">
        <is>
          <t>promo</t>
        </is>
      </c>
      <c r="G317" t="inlineStr">
        <is>
          <t>MEGA OFERTA por tempo limitado</t>
        </is>
      </c>
      <c r="H317" t="inlineStr">
        <is>
          <t>high</t>
        </is>
      </c>
      <c r="I317" t="b">
        <v>1</v>
      </c>
      <c r="J317" t="b">
        <v>1</v>
      </c>
      <c r="K317" t="inlineStr"/>
      <c r="L317" t="inlineStr">
        <is>
          <t>Localiza
seminovos
MEGA
OFERTA
por tempo
limitado</t>
        </is>
      </c>
      <c r="M317" t="inlineStr"/>
    </row>
    <row r="318">
      <c r="A318">
        <f>IMAGE("https://http2.mlstatic.com/D_NQ_NP_777462-MLA112605056487_062026-F.webp")</f>
        <v/>
      </c>
      <c r="B318" t="inlineStr">
        <is>
          <t>https://http2.mlstatic.com/D_NQ_NP_777462-MLA112605056487_062026-F.webp</t>
        </is>
      </c>
      <c r="C318" t="inlineStr">
        <is>
          <t>P-promo</t>
        </is>
      </c>
      <c r="D318" t="b">
        <v>1</v>
      </c>
      <c r="E318" t="b">
        <v>0</v>
      </c>
      <c r="F318" t="inlineStr">
        <is>
          <t>none</t>
        </is>
      </c>
      <c r="G318" t="inlineStr"/>
      <c r="H318" t="inlineStr">
        <is>
          <t>low</t>
        </is>
      </c>
      <c r="I318" t="b">
        <v>0</v>
      </c>
      <c r="J318" t="b">
        <v>0</v>
      </c>
      <c r="K318" t="inlineStr"/>
      <c r="L318" t="inlineStr">
        <is>
          <t>promocións
cultural
Editorial Popular
Diálogos con Raquel
Praxis Pedagógicas y reflexión de saberes
para el desarrollo educativo en la diversidad cultural
María Jesús Vitón</t>
        </is>
      </c>
      <c r="M318" t="inlineStr"/>
    </row>
    <row r="319">
      <c r="A319">
        <f>IMAGE("https://http2.mlstatic.com/D_NQ_NP_993143-MLC113359397625_062026-F.webp")</f>
        <v/>
      </c>
      <c r="B319" t="inlineStr">
        <is>
          <t>https://http2.mlstatic.com/D_NQ_NP_993143-MLC113359397625_062026-F.webp</t>
        </is>
      </c>
      <c r="C319" t="inlineStr">
        <is>
          <t>P-promo</t>
        </is>
      </c>
      <c r="D319" t="b">
        <v>1</v>
      </c>
      <c r="E319" t="b">
        <v>1</v>
      </c>
      <c r="F319" t="inlineStr">
        <is>
          <t>badge</t>
        </is>
      </c>
      <c r="G319" t="inlineStr">
        <is>
          <t>un sello con texto como 'Recomendado' o 'Hot Sale' dibujado sobre la imagen</t>
        </is>
      </c>
      <c r="H319" t="inlineStr">
        <is>
          <t>medium</t>
        </is>
      </c>
      <c r="I319" t="b">
        <v>1</v>
      </c>
      <c r="J319" t="b">
        <v>1</v>
      </c>
      <c r="K319" t="inlineStr"/>
      <c r="L319" t="inlineStr">
        <is>
          <t>ALBUM + (1 SOBRE GRATIS)
OFFICIAL STICKER
COLLECTION
G
FIFA
WORLD CUP
2026
STICKER ALBUM ÁLBUM DE CROMOS
ALBUM D'AUTOCOLLANTS
PANINI
FIFA
WORLD CUP
2026
4242405005</t>
        </is>
      </c>
      <c r="M319" t="inlineStr"/>
    </row>
    <row r="320">
      <c r="A320">
        <f>IMAGE("https://http2.mlstatic.com/D_NQ_NP_926773-MLC113359355417_062026-F.webp")</f>
        <v/>
      </c>
      <c r="B320" t="inlineStr">
        <is>
          <t>https://http2.mlstatic.com/D_NQ_NP_926773-MLC113359355417_062026-F.webp</t>
        </is>
      </c>
      <c r="C320" t="inlineStr">
        <is>
          <t>P-promo</t>
        </is>
      </c>
      <c r="D320" t="b">
        <v>1</v>
      </c>
      <c r="E320" t="b">
        <v>1</v>
      </c>
      <c r="F320" t="inlineStr">
        <is>
          <t>badge</t>
        </is>
      </c>
      <c r="G320" t="inlineStr">
        <is>
          <t>un sello con texto como 'Recomendado' o 'Hot Sale' dibujado sobre la imagen</t>
        </is>
      </c>
      <c r="H320" t="inlineStr">
        <is>
          <t>medium</t>
        </is>
      </c>
      <c r="I320" t="b">
        <v>1</v>
      </c>
      <c r="J320" t="b">
        <v>1</v>
      </c>
      <c r="K320" t="inlineStr"/>
      <c r="L320" t="inlineStr">
        <is>
          <t>ALBUM + (1 SOBRE GRATIS)
OFFICIAL STICKER
COLLECTION
G
FIFA
WORLD CUP
2026
STICKER ALBUM ÁLBUM DE CROMOS
ALBUM D'AUTOCOLLANTS
PANINI
FIFA
WORLD CUP
2026
4242405005</t>
        </is>
      </c>
      <c r="M320" t="inlineStr"/>
    </row>
    <row r="321">
      <c r="A321">
        <f>IMAGE("https://http2.mlstatic.com/D_NQ_NP_688309-MLC112323719382_062026-F.webp")</f>
        <v/>
      </c>
      <c r="B321" t="inlineStr">
        <is>
          <t>https://http2.mlstatic.com/D_NQ_NP_688309-MLC112323719382_062026-F.webp</t>
        </is>
      </c>
      <c r="C321" t="inlineStr">
        <is>
          <t>P-promo</t>
        </is>
      </c>
      <c r="D321" t="b">
        <v>1</v>
      </c>
      <c r="E321" t="b">
        <v>1</v>
      </c>
      <c r="F321" t="inlineStr">
        <is>
          <t>badge</t>
        </is>
      </c>
      <c r="G321" t="inlineStr">
        <is>
          <t>text overlay with 'GOAT 10' and 'Free!'</t>
        </is>
      </c>
      <c r="H321" t="inlineStr">
        <is>
          <t>high</t>
        </is>
      </c>
      <c r="I321" t="b">
        <v>1</v>
      </c>
      <c r="J321" t="b">
        <v>1</v>
      </c>
      <c r="K321" t="inlineStr"/>
      <c r="L321" t="inlineStr">
        <is>
          <t>Combo Imperdible
(1) Album Tapa Blanda
+1 Sobre de Barajitas
+ Portaretrato y Foto Del
numero 1 del mundo
OFFICIAL STICKER COLLECTION
GOAT 10
FIFA
WORLD CUP
2026
VISA
A
210
GRATIS
773
2026</t>
        </is>
      </c>
      <c r="M321" t="inlineStr"/>
    </row>
    <row r="322">
      <c r="A322">
        <f>IMAGE("https://http2.mlstatic.com/D_NQ_NP_880991-MLB112215533166_062026-F.webp")</f>
        <v/>
      </c>
      <c r="B322" t="inlineStr">
        <is>
          <t>https://http2.mlstatic.com/D_NQ_NP_880991-MLB112215533166_062026-F.webp</t>
        </is>
      </c>
      <c r="C322" t="inlineStr">
        <is>
          <t>P-promo</t>
        </is>
      </c>
      <c r="D322" t="b">
        <v>1</v>
      </c>
      <c r="E322" t="b">
        <v>0</v>
      </c>
      <c r="F322" t="inlineStr">
        <is>
          <t>none</t>
        </is>
      </c>
      <c r="G322" t="inlineStr"/>
      <c r="H322" t="inlineStr">
        <is>
          <t>low</t>
        </is>
      </c>
      <c r="I322" t="b">
        <v>0</v>
      </c>
      <c r="J322" t="b">
        <v>0</v>
      </c>
      <c r="K322" t="inlineStr"/>
      <c r="L322" t="inlineStr">
        <is>
          <t>GA
Rafters &amp; Construção e Ferragens em Geral
Material de Eletricidade
ATAVIAN
PROVAL CERICIA PORTUGAL
THORISADE
VINOS CATELE PRECIOSO GARIBALD
RUA CAPITAO CARLOS 313-TELEFONE 30-6047-RIO
to allonto fi um espelho
O FAR EXPORTADORA SA
MOSNEAN
R. CANTAREIRA 1125-FONE 37-1745-SAD PAULOL
PAVIA
ALGODOEIRA</t>
        </is>
      </c>
      <c r="M322" t="inlineStr"/>
    </row>
    <row r="323">
      <c r="A323">
        <f>IMAGE("https://http2.mlstatic.com/D_NQ_NP_856409-MLB112265464350_062026-F.webp")</f>
        <v/>
      </c>
      <c r="B323" t="inlineStr">
        <is>
          <t>https://http2.mlstatic.com/D_NQ_NP_856409-MLB112265464350_062026-F.webp</t>
        </is>
      </c>
      <c r="C323" t="inlineStr">
        <is>
          <t>P-promo</t>
        </is>
      </c>
      <c r="D323" t="b">
        <v>1</v>
      </c>
      <c r="E323" t="b">
        <v>0</v>
      </c>
      <c r="F323" t="inlineStr">
        <is>
          <t>none</t>
        </is>
      </c>
      <c r="G323" t="inlineStr"/>
      <c r="H323" t="inlineStr">
        <is>
          <t>low</t>
        </is>
      </c>
      <c r="I323" t="b">
        <v>0</v>
      </c>
      <c r="J323" t="b">
        <v>0</v>
      </c>
      <c r="K323" t="inlineStr"/>
      <c r="L323" t="inlineStr">
        <is>
          <t>00 PIPE
BEL
TROCA
DESTAQUE
DOCUMENTAÇÃO
GRATIS
A PART RDE
R$ 17998
NISSAN
D
SEMINOVOS
OUTLET PREMIUM
100%
ABELA FIPE
NO USADO DA TROCA</t>
        </is>
      </c>
      <c r="M323" t="inlineStr"/>
    </row>
    <row r="324">
      <c r="A324">
        <f>IMAGE("https://http2.mlstatic.com/D_NQ_NP_912169-MLB112363586500_062026-F.webp")</f>
        <v/>
      </c>
      <c r="B324" t="inlineStr">
        <is>
          <t>https://http2.mlstatic.com/D_NQ_NP_912169-MLB112363586500_062026-F.webp</t>
        </is>
      </c>
      <c r="C324" t="inlineStr">
        <is>
          <t>P-promo</t>
        </is>
      </c>
      <c r="D324" t="b">
        <v>1</v>
      </c>
      <c r="E324" t="b">
        <v>1</v>
      </c>
      <c r="F324" t="inlineStr">
        <is>
          <t>badge</t>
        </is>
      </c>
      <c r="G324" t="inlineStr">
        <is>
          <t>Mas vendido</t>
        </is>
      </c>
      <c r="H324" t="inlineStr">
        <is>
          <t>medium</t>
        </is>
      </c>
      <c r="I324" t="b">
        <v>0</v>
      </c>
      <c r="J324" t="b">
        <v>0</v>
      </c>
      <c r="K324" t="inlineStr"/>
      <c r="L324" t="inlineStr">
        <is>
          <t>NOVA FÓRMULA
CalcioDex®
500 mg + D3
SUPLEMENTO ALIMENTAR
EM CÁPSULAS GELATINOSAS
• Fácil de engolir
Carbonato de Cálcio 500 mg
+ Vitamina D3
PACK ECONÔMICO
50%
DE DESCONTO NO
SEGUNDO FRASCO
CalcioDex CalcioDex
500 mg + D3
SUPLEMENTO ALIMENTAR
EM CAPSULAS GELATINOSAS
Carbonato de Cálcio 500 mg
+Vitam</t>
        </is>
      </c>
      <c r="M324" t="inlineStr"/>
    </row>
    <row r="325">
      <c r="A325">
        <f>IMAGE("https://http2.mlstatic.com/D_NQ_NP_967518-MLA112263864714_062026-F.webp")</f>
        <v/>
      </c>
      <c r="B325" t="inlineStr">
        <is>
          <t>https://http2.mlstatic.com/D_NQ_NP_967518-MLA112263864714_062026-F.webp</t>
        </is>
      </c>
      <c r="C325" t="inlineStr">
        <is>
          <t>P-promo</t>
        </is>
      </c>
      <c r="D325" t="b">
        <v>1</v>
      </c>
      <c r="E325" t="b">
        <v>1</v>
      </c>
      <c r="F325" t="inlineStr">
        <is>
          <t>badge</t>
        </is>
      </c>
      <c r="G325" t="inlineStr">
        <is>
          <t>logos de marca o del fabricante</t>
        </is>
      </c>
      <c r="H325" t="inlineStr">
        <is>
          <t>low</t>
        </is>
      </c>
      <c r="I325" t="b">
        <v>1</v>
      </c>
      <c r="J325" t="b">
        <v>1</v>
      </c>
      <c r="K325" t="inlineStr"/>
      <c r="L325" t="inlineStr">
        <is>
          <t>EXCLUSIVO CITIZEN TITANIUM
Mi Citizen:
ligero, elegante,
y de titanio puro.
CITIZEN
GUANTZ
TITANIUM
Titanio
Duradero
ENVÍO GRATIS A TODO EL PAÍS</t>
        </is>
      </c>
      <c r="M325" t="inlineStr"/>
    </row>
    <row r="326">
      <c r="A326">
        <f>IMAGE("https://http2.mlstatic.com/D_NQ_NP_925550-MLC113359346797_062026-F.webp")</f>
        <v/>
      </c>
      <c r="B326" t="inlineStr">
        <is>
          <t>https://http2.mlstatic.com/D_NQ_NP_925550-MLC113359346797_062026-F.webp</t>
        </is>
      </c>
      <c r="C326" t="inlineStr">
        <is>
          <t>P-promo</t>
        </is>
      </c>
      <c r="D326" t="b">
        <v>1</v>
      </c>
      <c r="E326" t="b">
        <v>1</v>
      </c>
      <c r="F326" t="inlineStr">
        <is>
          <t>badge</t>
        </is>
      </c>
      <c r="G326" t="inlineStr">
        <is>
          <t>un sello con texto como 'Recomendado' o 'Hot Sale' dibujado sobre la imagen</t>
        </is>
      </c>
      <c r="H326" t="inlineStr">
        <is>
          <t>medium</t>
        </is>
      </c>
      <c r="I326" t="b">
        <v>1</v>
      </c>
      <c r="J326" t="b">
        <v>1</v>
      </c>
      <c r="K326" t="inlineStr"/>
      <c r="L326" t="inlineStr">
        <is>
          <t>ALBUM + (1 SOBRE GRATIS)
OFFICIAL STICKER
COLLECTION
G
FIFA
WORLD CUP
2026
STICKER ALBUM ÁLBUM DE CROMOS
ALBUM D'AUTOCOLLANTS
PANINI
FIFA
WORLD CUP
2026
4242405005</t>
        </is>
      </c>
      <c r="M326" t="inlineStr"/>
    </row>
    <row r="327">
      <c r="A327">
        <f>IMAGE("https://http2.mlstatic.com/D_NQ_NP_867786-MLC113359382801_062026-F.webp")</f>
        <v/>
      </c>
      <c r="B327" t="inlineStr">
        <is>
          <t>https://http2.mlstatic.com/D_NQ_NP_867786-MLC113359382801_062026-F.webp</t>
        </is>
      </c>
      <c r="C327" t="inlineStr">
        <is>
          <t>P-promo</t>
        </is>
      </c>
      <c r="D327" t="b">
        <v>1</v>
      </c>
      <c r="E327" t="b">
        <v>1</v>
      </c>
      <c r="F327" t="inlineStr">
        <is>
          <t>badge</t>
        </is>
      </c>
      <c r="G327" t="inlineStr">
        <is>
          <t>un sello con texto como 'Recomendado' o 'Hot Sale' dibujado sobre la imagen</t>
        </is>
      </c>
      <c r="H327" t="inlineStr">
        <is>
          <t>medium</t>
        </is>
      </c>
      <c r="I327" t="b">
        <v>1</v>
      </c>
      <c r="J327" t="b">
        <v>1</v>
      </c>
      <c r="K327" t="inlineStr"/>
      <c r="L327" t="inlineStr">
        <is>
          <t>ALBUM + (1 SOBRE GRATIS)
OFFICIAL STICKER
COLLECTION
G
FIFA
WORLD CUP
2026
STICKER ALBUM ÁLBUM DE CROMOS
ALBUM D'AUTOCOLLANTS
PANINI
FIFA
WORLD CUP
2026
4242405005</t>
        </is>
      </c>
      <c r="M327" t="inlineStr"/>
    </row>
    <row r="328">
      <c r="A328">
        <f>IMAGE("https://http2.mlstatic.com/D_NQ_NP_804626-MLB112367848930_062026-F.webp")</f>
        <v/>
      </c>
      <c r="B328" t="inlineStr">
        <is>
          <t>https://http2.mlstatic.com/D_NQ_NP_804626-MLB112367848930_062026-F.webp</t>
        </is>
      </c>
      <c r="C328" t="inlineStr">
        <is>
          <t>P-promo</t>
        </is>
      </c>
      <c r="D328" t="b">
        <v>1</v>
      </c>
      <c r="E328" t="b">
        <v>1</v>
      </c>
      <c r="F328" t="inlineStr">
        <is>
          <t>promo</t>
        </is>
      </c>
      <c r="G328" t="inlineStr">
        <is>
          <t>LEVE 400ml PAGUE 330ml</t>
        </is>
      </c>
      <c r="H328" t="inlineStr">
        <is>
          <t>high</t>
        </is>
      </c>
      <c r="I328" t="b">
        <v>0</v>
      </c>
      <c r="J328" t="b">
        <v>0</v>
      </c>
      <c r="K328" t="inlineStr"/>
      <c r="L328" t="inlineStr">
        <is>
          <t>70ml GRÁTIS
LEVE 400ml PAGUE 330ml
NOVA FÓRMULA
CLEAR
ANTICASPA
MEN SHAMPOO
ICE COOL
MENTHOL
Limpeza
refrescante 24h
CONTRA CASPA
330 ml +70 ml grátis
=400 ml</t>
        </is>
      </c>
      <c r="M328" t="inlineStr"/>
    </row>
    <row r="329">
      <c r="A329">
        <f>IMAGE("https://http2.mlstatic.com/D_NQ_NP_674470-MLB111989412636_062026-F.webp")</f>
        <v/>
      </c>
      <c r="B329" t="inlineStr">
        <is>
          <t>https://http2.mlstatic.com/D_NQ_NP_674470-MLB111989412636_062026-F.webp</t>
        </is>
      </c>
      <c r="C329" t="inlineStr">
        <is>
          <t>P-promo</t>
        </is>
      </c>
      <c r="D329" t="b">
        <v>1</v>
      </c>
      <c r="E329" t="b">
        <v>1</v>
      </c>
      <c r="F329" t="inlineStr">
        <is>
          <t>promo</t>
        </is>
      </c>
      <c r="G329" t="inlineStr">
        <is>
          <t>ALERTA ROXO</t>
        </is>
      </c>
      <c r="H329" t="inlineStr">
        <is>
          <t>high</t>
        </is>
      </c>
      <c r="I329" t="b">
        <v>0</v>
      </c>
      <c r="J329" t="b">
        <v>0</v>
      </c>
      <c r="K329" t="inlineStr"/>
      <c r="L329" t="inlineStr">
        <is>
          <t>minovos
movida
OFERTA
IMPERDIVEL
ALERTA
ROXO
seminovos
movida
OPORTUNIDAD
única
Ramir
mov</t>
        </is>
      </c>
      <c r="M329" t="inlineStr"/>
    </row>
    <row r="330">
      <c r="A330">
        <f>IMAGE("https://http2.mlstatic.com/D_NQ_NP_880885-MLC112323665620_062026-F.webp")</f>
        <v/>
      </c>
      <c r="B330" t="inlineStr">
        <is>
          <t>https://http2.mlstatic.com/D_NQ_NP_880885-MLC112323665620_062026-F.webp</t>
        </is>
      </c>
      <c r="C330" t="inlineStr">
        <is>
          <t>P-promo</t>
        </is>
      </c>
      <c r="D330" t="b">
        <v>1</v>
      </c>
      <c r="E330" t="b">
        <v>1</v>
      </c>
      <c r="F330" t="inlineStr">
        <is>
          <t>badge</t>
        </is>
      </c>
      <c r="G330" t="inlineStr">
        <is>
          <t>text overlay with 'GOAT 10' and 'Free!'</t>
        </is>
      </c>
      <c r="H330" t="inlineStr">
        <is>
          <t>high</t>
        </is>
      </c>
      <c r="I330" t="b">
        <v>1</v>
      </c>
      <c r="J330" t="b">
        <v>1</v>
      </c>
      <c r="K330" t="inlineStr"/>
      <c r="L330" t="inlineStr">
        <is>
          <t>Combo Imperdible
(1) Album Tapa Blanda
+1 Sobre de Barajitas
+ Portaretrato y Foto Del
numero 1 del mundo
OFFICIAL STICKER COLLECTION
GOAT 10
FIFA
WORLD CUP
2026
VISA
A
210
GRATIS
773
2026</t>
        </is>
      </c>
      <c r="M330" t="inlineStr"/>
    </row>
    <row r="331">
      <c r="A331">
        <f>IMAGE("https://http2.mlstatic.com/D_NQ_NP_693695-MLC113359400827_062026-F.webp")</f>
        <v/>
      </c>
      <c r="B331" t="inlineStr">
        <is>
          <t>https://http2.mlstatic.com/D_NQ_NP_693695-MLC113359400827_062026-F.webp</t>
        </is>
      </c>
      <c r="C331" t="inlineStr">
        <is>
          <t>P-promo</t>
        </is>
      </c>
      <c r="D331" t="b">
        <v>1</v>
      </c>
      <c r="E331" t="b">
        <v>1</v>
      </c>
      <c r="F331" t="inlineStr">
        <is>
          <t>badge</t>
        </is>
      </c>
      <c r="G331" t="inlineStr">
        <is>
          <t>un sello con texto como 'Recomendado' o 'Hot Sale' dibujado sobre la imagen</t>
        </is>
      </c>
      <c r="H331" t="inlineStr">
        <is>
          <t>medium</t>
        </is>
      </c>
      <c r="I331" t="b">
        <v>1</v>
      </c>
      <c r="J331" t="b">
        <v>1</v>
      </c>
      <c r="K331" t="inlineStr"/>
      <c r="L331" t="inlineStr">
        <is>
          <t>ALBUM + (1 SOBRE GRATIS)
OFFICIAL STICKER
COLLECTION
G
FIFA
WORLD CUP
2026
STICKER ALBUM ÁLBUM DE CROMOS
ALBUM D'AUTOCOLLANTS
PANINI
FIFA
WORLD CUP
2026
4242405005</t>
        </is>
      </c>
      <c r="M331" t="inlineStr"/>
    </row>
    <row r="332">
      <c r="A332">
        <f>IMAGE("https://http2.mlstatic.com/D_NQ_NP_676514-MLA80616950475_112024-F.webp")</f>
        <v/>
      </c>
      <c r="B332" t="inlineStr">
        <is>
          <t>https://http2.mlstatic.com/D_NQ_NP_676514-MLA80616950475_112024-F.webp</t>
        </is>
      </c>
      <c r="C332" t="inlineStr">
        <is>
          <t>P-sin_bucket</t>
        </is>
      </c>
      <c r="D332" t="b">
        <v>1</v>
      </c>
      <c r="E332" t="b">
        <v>0</v>
      </c>
      <c r="F332" t="inlineStr">
        <is>
          <t>none</t>
        </is>
      </c>
      <c r="G332" t="inlineStr">
        <is>
          <t>text overlay on the product image</t>
        </is>
      </c>
      <c r="H332" t="inlineStr">
        <is>
          <t>medium</t>
        </is>
      </c>
      <c r="I332" t="b">
        <v>1</v>
      </c>
      <c r="J332" t="b">
        <v>1</v>
      </c>
      <c r="K332" t="inlineStr"/>
      <c r="L332" t="inlineStr">
        <is>
          <t>mercado
pago
Operación #1405921320
VISA DEBITO 7920 (Chip)
Autorización: 23192382
VIA ESTABELECIMENTO
21/02/24 12:30
Ticket N° 000130491
AID: A0000041011
Total
$150.00
APROBADO
MER⟫
CADO
PAGO
debit
1
4
冈
☑
Importe
Tus productos
$150.00
Agregar descripción
2
3
LO
5
6
7
8
9
0
Cobrar
+
+
=
Volver
Cobra</t>
        </is>
      </c>
      <c r="M332" t="inlineStr"/>
    </row>
    <row r="333">
      <c r="A333">
        <f>IMAGE("https://http2.mlstatic.com/D_NQ_NP_855291-MLA112393632148_062026-F.webp")</f>
        <v/>
      </c>
      <c r="B333" t="inlineStr">
        <is>
          <t>https://http2.mlstatic.com/D_NQ_NP_855291-MLA112393632148_062026-F.webp</t>
        </is>
      </c>
      <c r="C333" t="inlineStr">
        <is>
          <t>P-sin_bucket</t>
        </is>
      </c>
      <c r="D333" t="b">
        <v>1</v>
      </c>
      <c r="E333" t="b">
        <v>1</v>
      </c>
      <c r="F333" t="inlineStr">
        <is>
          <t>delivery</t>
        </is>
      </c>
      <c r="G333" t="inlineStr">
        <is>
          <t>entrega hoy en santiago</t>
        </is>
      </c>
      <c r="H333" t="inlineStr">
        <is>
          <t>high</t>
        </is>
      </c>
      <c r="I333" t="b">
        <v>1</v>
      </c>
      <c r="J333" t="b">
        <v>1</v>
      </c>
      <c r="K333" t="inlineStr"/>
      <c r="L333" t="inlineStr">
        <is>
          <t>RECIBE HOY
EN SANTIAGO
Compra antes de las 13:00 hrs
y recibe hoy mismo.
PAGO CONTRA
ENTREGA
ENTREGA*
EL MISMO DÍA
SOLO PARA SANTIAGO
EN SANTIAGO
{
ENVÍOS A
TODO CHILE
1A2 DÍAS HÁBILES
MODELO
DBOV001
DISPENSADOR
VENTILA
DISPENSADOR
AGUA PURIFICADA
CON VENTILADOR
CON BIDON OCULTO
AGLADA
HELADA
AGUA
C</t>
        </is>
      </c>
      <c r="M333" t="inlineStr"/>
    </row>
    <row r="334">
      <c r="A334">
        <f>IMAGE("https://http2.mlstatic.com/D_NQ_NP_999387-MLA113632356453_062026-F.webp")</f>
        <v/>
      </c>
      <c r="B334" t="inlineStr">
        <is>
          <t>https://http2.mlstatic.com/D_NQ_NP_999387-MLA113632356453_062026-F.webp</t>
        </is>
      </c>
      <c r="C334" t="inlineStr">
        <is>
          <t>P-sin_bucket</t>
        </is>
      </c>
      <c r="D334" t="b">
        <v>1</v>
      </c>
      <c r="E334" t="b">
        <v>0</v>
      </c>
      <c r="F334" t="inlineStr">
        <is>
          <t>none</t>
        </is>
      </c>
      <c r="G334" t="inlineStr"/>
      <c r="H334" t="inlineStr">
        <is>
          <t>low</t>
        </is>
      </c>
      <c r="I334" t="b">
        <v>0</v>
      </c>
      <c r="J334" t="b">
        <v>0</v>
      </c>
      <c r="K334" t="inlineStr"/>
      <c r="L334" t="inlineStr">
        <is>
          <t>mercado
pago
Critic
Kov
ma</t>
        </is>
      </c>
      <c r="M334" t="inlineStr"/>
    </row>
    <row r="335">
      <c r="A335">
        <f>IMAGE("https://http2.mlstatic.com/D_NQ_NP_800862-MLA100005488981_122025-F.webp")</f>
        <v/>
      </c>
      <c r="B335" t="inlineStr">
        <is>
          <t>https://http2.mlstatic.com/D_NQ_NP_800862-MLA100005488981_122025-F.webp</t>
        </is>
      </c>
      <c r="C335" t="inlineStr">
        <is>
          <t>P-sin_bucket</t>
        </is>
      </c>
      <c r="D335" t="b">
        <v>1</v>
      </c>
      <c r="E335" t="b">
        <v>0</v>
      </c>
      <c r="F335" t="inlineStr">
        <is>
          <t>none</t>
        </is>
      </c>
      <c r="G335" t="inlineStr"/>
      <c r="H335" t="inlineStr">
        <is>
          <t>low</t>
        </is>
      </c>
      <c r="I335" t="b">
        <v>1</v>
      </c>
      <c r="J335" t="b">
        <v>1</v>
      </c>
      <c r="K335" t="inlineStr"/>
      <c r="L335" t="inlineStr">
        <is>
          <t>CALENDARIO DE ENVÍOS
COMPRAS REGISTRADAS
DÍAS
DÍA DE
ENVÍO
MISMO DÍA
DÍA SIGUIENTE
HOARIO
LUNES A VIERNES
00:01 - 07:00
LUNES A JUEVES
07:01 - 24:00
07:01 - 24:00
SÁBADO O DOMINGO
00:01 - 24:00
LUNES DE DESCANSO OBLIGATORIO
00:01 - 24:00
MARTES
VIERNES
LUNES
LUNES</t>
        </is>
      </c>
      <c r="M335" t="inlineStr"/>
    </row>
    <row r="336">
      <c r="A336">
        <f>IMAGE("https://http2.mlstatic.com/D_NQ_NP_777161-MLA111919788748_062026-F.webp")</f>
        <v/>
      </c>
      <c r="B336" t="inlineStr">
        <is>
          <t>https://http2.mlstatic.com/D_NQ_NP_777161-MLA111919788748_062026-F.webp</t>
        </is>
      </c>
      <c r="C336" t="inlineStr">
        <is>
          <t>P-sin_bucket</t>
        </is>
      </c>
      <c r="D336" t="b">
        <v>1</v>
      </c>
      <c r="E336" t="b">
        <v>0</v>
      </c>
      <c r="F336" t="inlineStr">
        <is>
          <t>none</t>
        </is>
      </c>
      <c r="G336" t="inlineStr">
        <is>
          <t>QR code and text on the sign</t>
        </is>
      </c>
      <c r="H336" t="inlineStr">
        <is>
          <t>low</t>
        </is>
      </c>
      <c r="I336" t="b">
        <v>1</v>
      </c>
      <c r="J336" t="b">
        <v>1</v>
      </c>
      <c r="K336" t="inlineStr"/>
      <c r="L336" t="inlineStr">
        <is>
          <t>mercado
pago
Escaneá y pagá
Con tarjetas de
débito o crédito
Con dinero en cuenta
de Mercado Pago
VISA
OCA</t>
        </is>
      </c>
      <c r="M336" t="inlineStr"/>
    </row>
    <row r="337">
      <c r="A337">
        <f>IMAGE("https://http2.mlstatic.com/D_NQ_NP_719533-MLA112219014278_062026-F.webp")</f>
        <v/>
      </c>
      <c r="B337" t="inlineStr">
        <is>
          <t>https://http2.mlstatic.com/D_NQ_NP_719533-MLA112219014278_062026-F.webp</t>
        </is>
      </c>
      <c r="C337" t="inlineStr">
        <is>
          <t>P-sin_bucket</t>
        </is>
      </c>
      <c r="D337" t="b">
        <v>1</v>
      </c>
      <c r="E337" t="b">
        <v>0</v>
      </c>
      <c r="F337" t="inlineStr">
        <is>
          <t>none</t>
        </is>
      </c>
      <c r="G337" t="inlineStr"/>
      <c r="H337" t="inlineStr">
        <is>
          <t>low</t>
        </is>
      </c>
      <c r="I337" t="b">
        <v>0</v>
      </c>
      <c r="J337" t="b">
        <v>0</v>
      </c>
      <c r="K337" t="inlineStr"/>
      <c r="L337" t="inlineStr">
        <is>
          <t>MERCADO PAGO
PLS-LAUPROS03
QUESO
FRESCO
PUNTA DE AGUA
$9.000
DULCE DE
BATATA
$3.900
DUL DE
MEMBRILLO
$4500KG</t>
        </is>
      </c>
      <c r="M337" t="inlineStr"/>
    </row>
    <row r="338">
      <c r="A338">
        <f>IMAGE("https://http2.mlstatic.com/D_NQ_NP_901307-MLA110457472647_042026-F.webp")</f>
        <v/>
      </c>
      <c r="B338" t="inlineStr">
        <is>
          <t>https://http2.mlstatic.com/D_NQ_NP_901307-MLA110457472647_042026-F.webp</t>
        </is>
      </c>
      <c r="C338" t="inlineStr">
        <is>
          <t>P-sin_bucket</t>
        </is>
      </c>
      <c r="D338" t="b">
        <v>1</v>
      </c>
      <c r="E338" t="b">
        <v>1</v>
      </c>
      <c r="F338" t="inlineStr">
        <is>
          <t>badge</t>
        </is>
      </c>
      <c r="G338" t="inlineStr">
        <is>
          <t>un sello que imita una etiqueta oficial de MercadoLibre</t>
        </is>
      </c>
      <c r="H338" t="inlineStr">
        <is>
          <t>medium</t>
        </is>
      </c>
      <c r="I338" t="b">
        <v>0</v>
      </c>
      <c r="J338" t="b">
        <v>0</v>
      </c>
      <c r="K338" t="inlineStr"/>
      <c r="L338" t="inlineStr">
        <is>
          <t>Siempre
el mismo día
Veinte años. Dos personas...</t>
        </is>
      </c>
      <c r="M338" t="inlineStr"/>
    </row>
    <row r="339">
      <c r="A339">
        <f>IMAGE("https://http2.mlstatic.com/D_NQ_NP_836649-CBT112475982460_062026-F.webp")</f>
        <v/>
      </c>
      <c r="B339" t="inlineStr">
        <is>
          <t>https://http2.mlstatic.com/D_NQ_NP_836649-CBT112475982460_062026-F.webp</t>
        </is>
      </c>
      <c r="C339" t="inlineStr">
        <is>
          <t>P-sin_bucket</t>
        </is>
      </c>
      <c r="D339" t="b">
        <v>1</v>
      </c>
      <c r="E339" t="b">
        <v>0</v>
      </c>
      <c r="F339" t="inlineStr">
        <is>
          <t>none</t>
        </is>
      </c>
      <c r="G339" t="inlineStr"/>
      <c r="H339" t="inlineStr">
        <is>
          <t>low</t>
        </is>
      </c>
      <c r="I339" t="b">
        <v>0</v>
      </c>
      <c r="J339" t="b">
        <v>0</v>
      </c>
      <c r="K339" t="inlineStr"/>
      <c r="L339" t="inlineStr">
        <is>
          <t>FROM THE TWISTED WRITERS OF
SAW IV V VI &amp; VII
EVERY GREAT COLLECTOR HAS A VISION.
THE
COLLECTION
ARTIC
G
THE REAL BLACK FRIDAY BEGINS NOVEMBER 30TH
5
FACEBOOK.COM/THE COLLECTIONMO
COLLECTIONFILM THECOLLECTIONMOVIE.COM
2D Flat</t>
        </is>
      </c>
      <c r="M339" t="inlineStr"/>
    </row>
    <row r="340">
      <c r="A340">
        <f>IMAGE("https://http2.mlstatic.com/D_NQ_NP_857268-MLA110718032607_042026-F.webp")</f>
        <v/>
      </c>
      <c r="B340" t="inlineStr">
        <is>
          <t>https://http2.mlstatic.com/D_NQ_NP_857268-MLA110718032607_042026-F.webp</t>
        </is>
      </c>
      <c r="C340" t="inlineStr">
        <is>
          <t>P-sin_bucket</t>
        </is>
      </c>
      <c r="D340" t="b">
        <v>1</v>
      </c>
      <c r="E340" t="b">
        <v>0</v>
      </c>
      <c r="F340" t="inlineStr">
        <is>
          <t>none</t>
        </is>
      </c>
      <c r="G340" t="inlineStr"/>
      <c r="H340" t="inlineStr">
        <is>
          <t>low</t>
        </is>
      </c>
      <c r="I340" t="b">
        <v>0</v>
      </c>
      <c r="J340" t="b">
        <v>0</v>
      </c>
      <c r="K340" t="inlineStr"/>
      <c r="L340" t="inlineStr">
        <is>
          <t>mercado
pago
DRYCELL
*G</t>
        </is>
      </c>
      <c r="M340" t="inlineStr"/>
    </row>
    <row r="341">
      <c r="A341">
        <f>IMAGE("https://http2.mlstatic.com/D_NQ_NP_832854-MLA112266840068_062026-F.webp")</f>
        <v/>
      </c>
      <c r="B341" t="inlineStr">
        <is>
          <t>https://http2.mlstatic.com/D_NQ_NP_832854-MLA112266840068_062026-F.webp</t>
        </is>
      </c>
      <c r="C341" t="inlineStr">
        <is>
          <t>P-sin_bucket</t>
        </is>
      </c>
      <c r="D341" t="b">
        <v>1</v>
      </c>
      <c r="E341" t="b">
        <v>0</v>
      </c>
      <c r="F341" t="inlineStr">
        <is>
          <t>none</t>
        </is>
      </c>
      <c r="G341" t="inlineStr"/>
      <c r="H341" t="inlineStr">
        <is>
          <t>low</t>
        </is>
      </c>
      <c r="I341" t="b">
        <v>0</v>
      </c>
      <c r="J341" t="b">
        <v>0</v>
      </c>
      <c r="K341" t="inlineStr"/>
      <c r="L341" t="inlineStr">
        <is>
          <t>Juego Tapa De
Valvulas
Tunning...
Juego Cubre
Alfombra Para Au
$4.699
&amp; FULL
$26.998
$18.480 31% O
Cubre Volante Tipo Renault Clio Negro
$ 55.000
Mismo precio en 2 cuotas de
$27.500
con tarjeta Mercado Pago
FE0001/5
00
0+
1t
Inicio
Categorias
Carrito
Videos
Más</t>
        </is>
      </c>
      <c r="M341" t="inlineStr"/>
    </row>
    <row r="342">
      <c r="A342">
        <f>IMAGE("https://http2.mlstatic.com/D_NQ_NP_765557-MLA112462330256_062026-F.webp")</f>
        <v/>
      </c>
      <c r="B342" t="inlineStr">
        <is>
          <t>https://http2.mlstatic.com/D_NQ_NP_765557-MLA112462330256_062026-F.webp</t>
        </is>
      </c>
      <c r="C342" t="inlineStr">
        <is>
          <t>P-sin_bucket</t>
        </is>
      </c>
      <c r="D342" t="b">
        <v>1</v>
      </c>
      <c r="E342" t="b">
        <v>1</v>
      </c>
      <c r="F342" t="inlineStr">
        <is>
          <t>promo</t>
        </is>
      </c>
      <c r="G342" t="inlineStr">
        <is>
          <t>Mismo precio en 3 cuotas de $ 75.211 con tarjeta Mercado Pago</t>
        </is>
      </c>
      <c r="H342" t="inlineStr">
        <is>
          <t>high</t>
        </is>
      </c>
      <c r="I342" t="b">
        <v>1</v>
      </c>
      <c r="J342" t="b">
        <v>1</v>
      </c>
      <c r="K342" t="inlineStr"/>
      <c r="L342" t="inlineStr">
        <is>
          <t>HONDA
Mismo precio en 3 cuotas de $ 75.211 con
tarjeta Mercado Pago</t>
        </is>
      </c>
      <c r="M342" t="inlineStr"/>
    </row>
    <row r="343">
      <c r="A343">
        <f>IMAGE("https://http2.mlstatic.com/D_NQ_NP_809898-MLA112360530592_062026-F.webp")</f>
        <v/>
      </c>
      <c r="B343" t="inlineStr">
        <is>
          <t>https://http2.mlstatic.com/D_NQ_NP_809898-MLA112360530592_062026-F.webp</t>
        </is>
      </c>
      <c r="C343" t="inlineStr">
        <is>
          <t>P-sin_bucket</t>
        </is>
      </c>
      <c r="D343" t="b">
        <v>1</v>
      </c>
      <c r="E343" t="b">
        <v>1</v>
      </c>
      <c r="F343" t="inlineStr">
        <is>
          <t>promo</t>
        </is>
      </c>
      <c r="G343" t="inlineStr">
        <is>
          <t>18 CUOTAS</t>
        </is>
      </c>
      <c r="H343" t="inlineStr">
        <is>
          <t>high</t>
        </is>
      </c>
      <c r="I343" t="b">
        <v>0</v>
      </c>
      <c r="J343" t="b">
        <v>0</v>
      </c>
      <c r="K343" t="inlineStr"/>
      <c r="L343" t="inlineStr">
        <is>
          <t>mercado
pago
18 CUOTAS
SIN INTERES
Sant Antoni
OUTLET
JUSTINI
MERCATO
OUTLET
1570
ONDA SHOP
PELIGRO</t>
        </is>
      </c>
      <c r="M343" t="inlineStr"/>
    </row>
    <row r="344">
      <c r="A344">
        <f>IMAGE("https://http2.mlstatic.com/D_NQ_NP_711401-MLA112379056946_062026-F.webp")</f>
        <v/>
      </c>
      <c r="B344" t="inlineStr">
        <is>
          <t>https://http2.mlstatic.com/D_NQ_NP_711401-MLA112379056946_062026-F.webp</t>
        </is>
      </c>
      <c r="C344" t="inlineStr">
        <is>
          <t>P-sin_bucket</t>
        </is>
      </c>
      <c r="D344" t="b">
        <v>1</v>
      </c>
      <c r="E344" t="b">
        <v>0</v>
      </c>
      <c r="F344" t="inlineStr">
        <is>
          <t>none</t>
        </is>
      </c>
      <c r="G344" t="inlineStr"/>
      <c r="H344" t="inlineStr">
        <is>
          <t>low</t>
        </is>
      </c>
      <c r="I344" t="b">
        <v>1</v>
      </c>
      <c r="J344" t="b">
        <v>1</v>
      </c>
      <c r="K344" t="inlineStr"/>
      <c r="L344" t="inlineStr">
        <is>
          <t>00
$16.500
3 cuotas de $ 6,89865 con tarjeta Mercado Pago
Precip sin imp
omles: $ 14 932
Precio por unidad $8250
Medios de pago
VISA
Llega entre el martes y el jueves
Más detalles y formas de entrega
Retirá entre el miércoles 24 y el miércoles 1/jul en correo y otros
puntos
Ver en el mapa
Stock disp</t>
        </is>
      </c>
      <c r="M344" t="inlineStr"/>
    </row>
    <row r="345">
      <c r="A345">
        <f>IMAGE("https://http2.mlstatic.com/D_NQ_NP_938724-MLA113526708549_062026-F.webp")</f>
        <v/>
      </c>
      <c r="B345" t="inlineStr">
        <is>
          <t>https://http2.mlstatic.com/D_NQ_NP_938724-MLA113526708549_062026-F.webp</t>
        </is>
      </c>
      <c r="C345" t="inlineStr">
        <is>
          <t>P-sin_bucket</t>
        </is>
      </c>
      <c r="D345" t="b">
        <v>1</v>
      </c>
      <c r="E345" t="b">
        <v>0</v>
      </c>
      <c r="F345" t="inlineStr">
        <is>
          <t>none</t>
        </is>
      </c>
      <c r="G345" t="inlineStr"/>
      <c r="H345" t="inlineStr">
        <is>
          <t>low</t>
        </is>
      </c>
      <c r="I345" t="b">
        <v>0</v>
      </c>
      <c r="J345" t="b">
        <v>0</v>
      </c>
      <c r="K345" t="inlineStr"/>
      <c r="L345" t="inlineStr">
        <is>
          <t>6:430
f
31
G
Gemini
Tik Tok Lite
Calendario
Google Go
Instagram
Galería
Mercado Pago Calculadora
e
BNA
Contactos
Teléfono
BNA+
Grabador de Pa...
Mi Calendario
Gboard
Sticker.ly
WhatsApp
2
Uber
Free Fire
Uber
DE
DiDi
Mi Claro
VIDA
VIDAA
Buscar
о</t>
        </is>
      </c>
      <c r="M345" t="inlineStr"/>
    </row>
    <row r="346">
      <c r="A346">
        <f>IMAGE("https://http2.mlstatic.com/D_NQ_NP_798360-MLM71063134358_082023-F.webp")</f>
        <v/>
      </c>
      <c r="B346" t="inlineStr">
        <is>
          <t>https://http2.mlstatic.com/D_NQ_NP_798360-MLM71063134358_082023-F.webp</t>
        </is>
      </c>
      <c r="C346" t="inlineStr">
        <is>
          <t>P-sin_bucket</t>
        </is>
      </c>
      <c r="D346" t="b">
        <v>1</v>
      </c>
      <c r="E346" t="b">
        <v>1</v>
      </c>
      <c r="F346" t="inlineStr">
        <is>
          <t>badge</t>
        </is>
      </c>
      <c r="G346" t="inlineStr">
        <is>
          <t>un sello con texto como 'Recomendado' o 'Tienda Oficial'</t>
        </is>
      </c>
      <c r="H346" t="inlineStr">
        <is>
          <t>medium</t>
        </is>
      </c>
      <c r="I346" t="b">
        <v>1</v>
      </c>
      <c r="J346" t="b">
        <v>1</v>
      </c>
      <c r="K346" t="inlineStr"/>
      <c r="L346" t="inlineStr">
        <is>
          <t>¿Cómo COMPRAR?
mercado
libre
Serna #1
Los Profesionales en Llantas y Servicios
3
iof
Presiona el botón
1 "comprar ahora"
3
4
Elige método
de entrega
ya sea a domicilio o bien,
retirar en sucursal.
Selecciona
método de pago
Tarjeta de crédito | débito,
Mercado pago (oxxo, seven
eleven, etc.)
Confirma</t>
        </is>
      </c>
      <c r="M346" t="inlineStr"/>
    </row>
    <row r="347">
      <c r="A347">
        <f>IMAGE("https://http2.mlstatic.com/D_NQ_NP_663707-MLA113474152861_062026-F.webp")</f>
        <v/>
      </c>
      <c r="B347" t="inlineStr">
        <is>
          <t>https://http2.mlstatic.com/D_NQ_NP_663707-MLA113474152861_062026-F.webp</t>
        </is>
      </c>
      <c r="C347" t="inlineStr">
        <is>
          <t>P-sin_bucket</t>
        </is>
      </c>
      <c r="D347" t="b">
        <v>1</v>
      </c>
      <c r="E347" t="b">
        <v>1</v>
      </c>
      <c r="F347" t="inlineStr">
        <is>
          <t>promo</t>
        </is>
      </c>
      <c r="G347" t="inlineStr">
        <is>
          <t>Financiación el 40% en 6 cuotas sin intereses con MercadoPago</t>
        </is>
      </c>
      <c r="H347" t="inlineStr">
        <is>
          <t>high</t>
        </is>
      </c>
      <c r="I347" t="b">
        <v>1</v>
      </c>
      <c r="J347" t="b">
        <v>1</v>
      </c>
      <c r="K347" t="inlineStr"/>
      <c r="L347" t="inlineStr">
        <is>
          <t>PIAGGIO
Beverly 400
¡Financiacia el 40% en
6 CUOTAS SIN INTERES!
con
mercado
pago
PALERMO BIKES</t>
        </is>
      </c>
      <c r="M347" t="inlineStr"/>
    </row>
    <row r="348">
      <c r="A348">
        <f>IMAGE("https://http2.mlstatic.com/D_NQ_NP_766509-MLA107597557382_032026-F.webp")</f>
        <v/>
      </c>
      <c r="B348" t="inlineStr">
        <is>
          <t>https://http2.mlstatic.com/D_NQ_NP_766509-MLA107597557382_032026-F.webp</t>
        </is>
      </c>
      <c r="C348" t="inlineStr">
        <is>
          <t>P-sin_bucket</t>
        </is>
      </c>
      <c r="D348" t="b">
        <v>1</v>
      </c>
      <c r="E348" t="inlineStr"/>
      <c r="F348" t="inlineStr"/>
      <c r="G348" t="inlineStr">
        <is>
          <t>PARSE_ERROR: !!!!!!!!!!!!!!!!!!!!!!!!!!!!!!!!!!!!!!!!!!!!!!!!!!!!!!!!!!!!!!!!!!!!!!!!!!!!!!!!!!!!!!!!!!!!!!!!!!!!!!!!!!!!!!!!!!!!!!!!!!!!!!!!!!!!!!!!!!!!!!!!!!!!!!!!!!!!!!!!!!!!!!!!!!!!!!!!!!!!!!!!!!!!!!!!!!!!!!!!</t>
        </is>
      </c>
      <c r="H348" t="inlineStr"/>
      <c r="I348" t="b">
        <v>0</v>
      </c>
      <c r="J348" t="b">
        <v>0</v>
      </c>
      <c r="K348" t="inlineStr"/>
      <c r="L348" t="inlineStr">
        <is>
          <t>SUBE
AGENCIAS
Za Primera
Za Segunda
42a Tercera
TE GARANTIZAN EL PAGO
DE TU JUGADA EN EL MISMO DÍA
pago
Lotería de la Provincia
Entretenimiento para vos. Beneficios para todos.
Leg№ 713.387
¡Hola!
NAVIDAD REYES
$13.100.000
$2.173.000.
POZO ESTIMA
250 MILLONES
4730-3300</t>
        </is>
      </c>
      <c r="M348" t="inlineStr"/>
    </row>
    <row r="349">
      <c r="A349">
        <f>IMAGE("https://http2.mlstatic.com/D_NQ_NP_736510-CBT108329659989_032026-F.webp")</f>
        <v/>
      </c>
      <c r="B349" t="inlineStr">
        <is>
          <t>https://http2.mlstatic.com/D_NQ_NP_736510-CBT108329659989_032026-F.webp</t>
        </is>
      </c>
      <c r="C349" t="inlineStr">
        <is>
          <t>P-sin_bucket</t>
        </is>
      </c>
      <c r="D349" t="b">
        <v>1</v>
      </c>
      <c r="E349" t="b">
        <v>0</v>
      </c>
      <c r="F349" t="inlineStr">
        <is>
          <t>none</t>
        </is>
      </c>
      <c r="G349" t="inlineStr"/>
      <c r="H349" t="inlineStr">
        <is>
          <t>low</t>
        </is>
      </c>
      <c r="I349" t="b">
        <v>0</v>
      </c>
      <c r="J349" t="b">
        <v>0</v>
      </c>
      <c r="K349" t="inlineStr"/>
      <c r="L349" t="inlineStr">
        <is>
          <t>MD
smazon
prims
Caliente
caliente.mx
mercado
pago
DIDICELL</t>
        </is>
      </c>
      <c r="M349" t="inlineStr"/>
    </row>
    <row r="350">
      <c r="A350">
        <f>IMAGE("https://http2.mlstatic.com/D_NQ_NP_735063-MLA112333812572_062026-F.webp")</f>
        <v/>
      </c>
      <c r="B350" t="inlineStr">
        <is>
          <t>https://http2.mlstatic.com/D_NQ_NP_735063-MLA112333812572_062026-F.webp</t>
        </is>
      </c>
      <c r="C350" t="inlineStr">
        <is>
          <t>P-sin_bucket</t>
        </is>
      </c>
      <c r="D350" t="b">
        <v>1</v>
      </c>
      <c r="E350" t="b">
        <v>1</v>
      </c>
      <c r="F350" t="inlineStr">
        <is>
          <t>promo</t>
        </is>
      </c>
      <c r="G350" t="inlineStr">
        <is>
          <t>OFERTA IMPERDIBLE</t>
        </is>
      </c>
      <c r="H350" t="inlineStr">
        <is>
          <t>high</t>
        </is>
      </c>
      <c r="I350" t="b">
        <v>1</v>
      </c>
      <c r="J350" t="b">
        <v>1</v>
      </c>
      <c r="K350" t="inlineStr"/>
      <c r="L350" t="inlineStr">
        <is>
          <t>¿CANSADO DE QUE TE
ROBEN EL MEDIDOR
DE GAS?
PROTEGÉ TU HOGAR
con nuestras rejas puertas
para medidor de gas
MODELO CON MALLA
MODELO CHAPA FIJA
OFERTA IMPERDIBLE
$85.000
CON COLOCACIÓN
CONSULTAS Y PEDIDOS POR
WHATSAPP
1149759172
SÚPER RESISTENTES
PARA ATORNILLAR
EXCELENTE
TERMINACIÓN
COLOCACIÓN
INCLU</t>
        </is>
      </c>
      <c r="M350" t="inlineStr"/>
    </row>
    <row r="351">
      <c r="A351">
        <f>IMAGE("https://http2.mlstatic.com/D_NQ_NP_949325-MLA85530143446_062025-F.webp")</f>
        <v/>
      </c>
      <c r="B351" t="inlineStr">
        <is>
          <t>https://http2.mlstatic.com/D_NQ_NP_949325-MLA85530143446_062025-F.webp</t>
        </is>
      </c>
      <c r="C351" t="inlineStr">
        <is>
          <t>P-sin_bucket</t>
        </is>
      </c>
      <c r="D351" t="b">
        <v>1</v>
      </c>
      <c r="E351" t="b">
        <v>1</v>
      </c>
      <c r="F351" t="inlineStr">
        <is>
          <t>badge</t>
        </is>
      </c>
      <c r="G351" t="inlineStr">
        <is>
          <t>un sello con texto como 'Recomendado' o 'Hot Sale'</t>
        </is>
      </c>
      <c r="H351" t="inlineStr">
        <is>
          <t>medium</t>
        </is>
      </c>
      <c r="I351" t="b">
        <v>1</v>
      </c>
      <c r="J351" t="b">
        <v>1</v>
      </c>
      <c r="K351" t="inlineStr"/>
      <c r="L351" t="inlineStr">
        <is>
          <t>mercado
pago
Paga aquí
con tarjeta
mercado
pogo
mercado
pago
$75050
4
5
T
*Aceptamos crédito,débito y vales
Point
Smart 2
саноат паке
MANAGE,
VISA phomes phot
10
°
DININO AL
FHUITUME</t>
        </is>
      </c>
      <c r="M351" t="inlineStr"/>
    </row>
    <row r="352">
      <c r="A352">
        <f>IMAGE("https://http2.mlstatic.com/D_NQ_NP_828539-CBT111932394476_062026-F.webp")</f>
        <v/>
      </c>
      <c r="B352" t="inlineStr">
        <is>
          <t>https://http2.mlstatic.com/D_NQ_NP_828539-CBT111932394476_062026-F.webp</t>
        </is>
      </c>
      <c r="C352" t="inlineStr">
        <is>
          <t>N-random</t>
        </is>
      </c>
      <c r="D352" t="b">
        <v>0</v>
      </c>
      <c r="E352" t="b">
        <v>0</v>
      </c>
      <c r="F352" t="inlineStr">
        <is>
          <t>none</t>
        </is>
      </c>
      <c r="G352" t="inlineStr"/>
      <c r="H352" t="inlineStr">
        <is>
          <t>low</t>
        </is>
      </c>
      <c r="I352" t="inlineStr"/>
      <c r="J352" t="b">
        <v>0</v>
      </c>
      <c r="K352" t="inlineStr"/>
      <c r="L352" t="inlineStr">
        <is>
          <t>TECH &amp; DESIGN
C</t>
        </is>
      </c>
      <c r="M352" t="inlineStr"/>
    </row>
    <row r="353">
      <c r="A353">
        <f>IMAGE("https://http2.mlstatic.com/D_NQ_NP_915266-CBT95150335638_102025-F.webp")</f>
        <v/>
      </c>
      <c r="B353" t="inlineStr">
        <is>
          <t>https://http2.mlstatic.com/D_NQ_NP_915266-CBT95150335638_102025-F.webp</t>
        </is>
      </c>
      <c r="C353" t="inlineStr">
        <is>
          <t>N-random</t>
        </is>
      </c>
      <c r="D353" t="b">
        <v>0</v>
      </c>
      <c r="E353" t="b">
        <v>0</v>
      </c>
      <c r="F353" t="inlineStr">
        <is>
          <t>none</t>
        </is>
      </c>
      <c r="G353" t="inlineStr"/>
      <c r="H353" t="inlineStr">
        <is>
          <t>low</t>
        </is>
      </c>
      <c r="I353" t="inlineStr"/>
      <c r="J353" t="b">
        <v>0</v>
      </c>
      <c r="K353" t="inlineStr"/>
      <c r="L353" t="inlineStr">
        <is>
          <t>VS</t>
        </is>
      </c>
      <c r="M353" t="inlineStr"/>
    </row>
    <row r="354">
      <c r="A354">
        <f>IMAGE("https://http2.mlstatic.com/D_NQ_NP_780631-CBT112276208422_062026-F.webp")</f>
        <v/>
      </c>
      <c r="B354" t="inlineStr">
        <is>
          <t>https://http2.mlstatic.com/D_NQ_NP_780631-CBT112276208422_062026-F.webp</t>
        </is>
      </c>
      <c r="C354" t="inlineStr">
        <is>
          <t>N-random</t>
        </is>
      </c>
      <c r="D354" t="b">
        <v>0</v>
      </c>
      <c r="E354" t="b">
        <v>0</v>
      </c>
      <c r="F354" t="inlineStr">
        <is>
          <t>none</t>
        </is>
      </c>
      <c r="G354" t="inlineStr"/>
      <c r="H354" t="inlineStr">
        <is>
          <t>low</t>
        </is>
      </c>
      <c r="I354" t="inlineStr"/>
      <c r="J354" t="b">
        <v>0</v>
      </c>
      <c r="K354" t="inlineStr"/>
      <c r="L354" t="inlineStr">
        <is>
          <t>200
Sweet
Baby</t>
        </is>
      </c>
      <c r="M354" t="inlineStr"/>
    </row>
    <row r="355">
      <c r="A355">
        <f>IMAGE("https://http2.mlstatic.com/D_NQ_NP_754560-CBT112249388148_062026-F.webp")</f>
        <v/>
      </c>
      <c r="B355" t="inlineStr">
        <is>
          <t>https://http2.mlstatic.com/D_NQ_NP_754560-CBT112249388148_062026-F.webp</t>
        </is>
      </c>
      <c r="C355" t="inlineStr">
        <is>
          <t>N-random</t>
        </is>
      </c>
      <c r="D355" t="b">
        <v>0</v>
      </c>
      <c r="E355" t="b">
        <v>0</v>
      </c>
      <c r="F355" t="inlineStr">
        <is>
          <t>none</t>
        </is>
      </c>
      <c r="G355" t="inlineStr"/>
      <c r="H355" t="inlineStr">
        <is>
          <t>low</t>
        </is>
      </c>
      <c r="I355" t="inlineStr"/>
      <c r="J355" t="b">
        <v>0</v>
      </c>
      <c r="K355" t="inlineStr"/>
      <c r="L355" t="inlineStr"/>
      <c r="M355" t="inlineStr"/>
    </row>
    <row r="356">
      <c r="A356">
        <f>IMAGE("https://http2.mlstatic.com/D_NQ_NP_897535-CBT112474507610_062026-F.webp")</f>
        <v/>
      </c>
      <c r="B356" t="inlineStr">
        <is>
          <t>https://http2.mlstatic.com/D_NQ_NP_897535-CBT112474507610_062026-F.webp</t>
        </is>
      </c>
      <c r="C356" t="inlineStr">
        <is>
          <t>N-random</t>
        </is>
      </c>
      <c r="D356" t="b">
        <v>0</v>
      </c>
      <c r="E356" t="b">
        <v>1</v>
      </c>
      <c r="F356" t="inlineStr">
        <is>
          <t>badge</t>
        </is>
      </c>
      <c r="G356" t="inlineStr">
        <is>
          <t>Stephen Curry</t>
        </is>
      </c>
      <c r="H356" t="inlineStr">
        <is>
          <t>medium</t>
        </is>
      </c>
      <c r="I356" t="b">
        <v>0</v>
      </c>
      <c r="J356" t="b">
        <v>0</v>
      </c>
      <c r="K356" t="inlineStr"/>
      <c r="L356" t="inlineStr">
        <is>
          <t>STRENG
STEPHEN LURRY
MY FIRST DAY
2021-22
NBA SEASON
MY NAME IS NEA SEASON
WHDELL
SHOP CURRY
13
AM FROM Come
MY BFF MY HIPE SONG IS
CRIC CONS
HOUN
HOT!!</t>
        </is>
      </c>
      <c r="M356" t="inlineStr"/>
    </row>
    <row r="357">
      <c r="A357">
        <f>IMAGE("https://http2.mlstatic.com/D_NQ_NP_966496-CBT107491601330_032026-F.webp")</f>
        <v/>
      </c>
      <c r="B357" t="inlineStr">
        <is>
          <t>https://http2.mlstatic.com/D_NQ_NP_966496-CBT107491601330_032026-F.webp</t>
        </is>
      </c>
      <c r="C357" t="inlineStr">
        <is>
          <t>N-random</t>
        </is>
      </c>
      <c r="D357" t="b">
        <v>0</v>
      </c>
      <c r="E357" t="b">
        <v>0</v>
      </c>
      <c r="F357" t="inlineStr">
        <is>
          <t>none</t>
        </is>
      </c>
      <c r="G357" t="inlineStr"/>
      <c r="H357" t="inlineStr">
        <is>
          <t>low</t>
        </is>
      </c>
      <c r="I357" t="b">
        <v>0</v>
      </c>
      <c r="J357" t="b">
        <v>0</v>
      </c>
      <c r="K357" t="inlineStr"/>
      <c r="L357" t="inlineStr">
        <is>
          <t>CCACALOM
9OZ
255G
CITRONELLA
CANDLE
CITRONELLA I ROSEMARY PEPPERM
OURED
NATURAL
SO Y
9OZ
255G
CCACALOM
CITRONELLA
CANDLE
CITRONELLA I ROSEMARY | PEPPERMINT | LEMONGRASS
OURED NATURAL
SO Y WAXICOT</t>
        </is>
      </c>
      <c r="M357" t="inlineStr"/>
    </row>
    <row r="358">
      <c r="A358">
        <f>IMAGE("https://http2.mlstatic.com/D_NQ_NP_729934-MLB99100021303_112025-F.webp")</f>
        <v/>
      </c>
      <c r="B358" t="inlineStr">
        <is>
          <t>https://http2.mlstatic.com/D_NQ_NP_729934-MLB99100021303_112025-F.webp</t>
        </is>
      </c>
      <c r="C358" t="inlineStr">
        <is>
          <t>N-random</t>
        </is>
      </c>
      <c r="D358" t="b">
        <v>0</v>
      </c>
      <c r="E358" t="b">
        <v>0</v>
      </c>
      <c r="F358" t="inlineStr">
        <is>
          <t>none</t>
        </is>
      </c>
      <c r="G358" t="inlineStr"/>
      <c r="H358" t="inlineStr">
        <is>
          <t>low</t>
        </is>
      </c>
      <c r="I358" t="inlineStr"/>
      <c r="J358" t="b">
        <v>0</v>
      </c>
      <c r="K358" t="inlineStr"/>
      <c r="L358" t="inlineStr">
        <is>
          <t>EXT</t>
        </is>
      </c>
      <c r="M358" t="inlineStr"/>
    </row>
    <row r="359">
      <c r="A359">
        <f>IMAGE("https://http2.mlstatic.com/D_NQ_NP_947800-CBT96665778728_112025-F.webp")</f>
        <v/>
      </c>
      <c r="B359" t="inlineStr">
        <is>
          <t>https://http2.mlstatic.com/D_NQ_NP_947800-CBT96665778728_112025-F.webp</t>
        </is>
      </c>
      <c r="C359" t="inlineStr">
        <is>
          <t>N-random</t>
        </is>
      </c>
      <c r="D359" t="b">
        <v>0</v>
      </c>
      <c r="E359" t="b">
        <v>0</v>
      </c>
      <c r="F359" t="inlineStr">
        <is>
          <t>none</t>
        </is>
      </c>
      <c r="G359" t="inlineStr"/>
      <c r="H359" t="inlineStr">
        <is>
          <t>low</t>
        </is>
      </c>
      <c r="I359" t="b">
        <v>0</v>
      </c>
      <c r="J359" t="b">
        <v>0</v>
      </c>
      <c r="K359" t="inlineStr"/>
      <c r="L359" t="inlineStr">
        <is>
          <t>MIKIZ
MIKIZ
MIKIZ
MIKIZ
MIKIZ
MIKIZ
MIKIZ
MIKIZ
MIKIZ
MIKIZ</t>
        </is>
      </c>
      <c r="M359" t="inlineStr"/>
    </row>
    <row r="360">
      <c r="A360">
        <f>IMAGE("https://http2.mlstatic.com/D_NQ_NP_657822-CBT111449953865_052026-F.webp")</f>
        <v/>
      </c>
      <c r="B360" t="inlineStr">
        <is>
          <t>https://http2.mlstatic.com/D_NQ_NP_657822-CBT111449953865_052026-F.webp</t>
        </is>
      </c>
      <c r="C360" t="inlineStr">
        <is>
          <t>N-random</t>
        </is>
      </c>
      <c r="D360" t="b">
        <v>0</v>
      </c>
      <c r="E360" t="b">
        <v>0</v>
      </c>
      <c r="F360" t="inlineStr">
        <is>
          <t>none</t>
        </is>
      </c>
      <c r="G360" t="inlineStr"/>
      <c r="H360" t="inlineStr">
        <is>
          <t>low</t>
        </is>
      </c>
      <c r="I360" t="inlineStr"/>
      <c r="J360" t="b">
        <v>0</v>
      </c>
      <c r="K360" t="inlineStr"/>
      <c r="L360" t="inlineStr">
        <is>
          <t>TECH &amp; DESIGN
TECH &amp; DESIGN</t>
        </is>
      </c>
      <c r="M360" t="inlineStr"/>
    </row>
    <row r="361">
      <c r="A361">
        <f>IMAGE("https://http2.mlstatic.com/D_NQ_NP_930831-CBT113586485665_062026-F.webp")</f>
        <v/>
      </c>
      <c r="B361" t="inlineStr">
        <is>
          <t>https://http2.mlstatic.com/D_NQ_NP_930831-CBT113586485665_062026-F.webp</t>
        </is>
      </c>
      <c r="C361" t="inlineStr">
        <is>
          <t>N-random</t>
        </is>
      </c>
      <c r="D361" t="b">
        <v>0</v>
      </c>
      <c r="E361" t="b">
        <v>0</v>
      </c>
      <c r="F361" t="inlineStr">
        <is>
          <t>none</t>
        </is>
      </c>
      <c r="G361" t="inlineStr"/>
      <c r="H361" t="inlineStr">
        <is>
          <t>low</t>
        </is>
      </c>
      <c r="I361" t="inlineStr"/>
      <c r="J361" t="b">
        <v>0</v>
      </c>
      <c r="K361" t="inlineStr"/>
      <c r="L361" t="inlineStr"/>
      <c r="M361" t="inlineStr"/>
    </row>
    <row r="362">
      <c r="A362">
        <f>IMAGE("https://http2.mlstatic.com/D_NQ_NP_819359-MLA112266291884_062026-F.webp")</f>
        <v/>
      </c>
      <c r="B362" t="inlineStr">
        <is>
          <t>https://http2.mlstatic.com/D_NQ_NP_819359-MLA112266291884_062026-F.webp</t>
        </is>
      </c>
      <c r="C362" t="inlineStr">
        <is>
          <t>N-random</t>
        </is>
      </c>
      <c r="D362" t="b">
        <v>0</v>
      </c>
      <c r="E362" t="b">
        <v>0</v>
      </c>
      <c r="F362" t="inlineStr">
        <is>
          <t>none</t>
        </is>
      </c>
      <c r="G362" t="inlineStr"/>
      <c r="H362" t="inlineStr">
        <is>
          <t>low</t>
        </is>
      </c>
      <c r="I362" t="inlineStr"/>
      <c r="J362" t="b">
        <v>0</v>
      </c>
      <c r="K362" t="inlineStr"/>
      <c r="L362" t="inlineStr"/>
      <c r="M362" t="inlineStr"/>
    </row>
    <row r="363">
      <c r="A363">
        <f>IMAGE("https://http2.mlstatic.com/D_NQ_NP_941594-MLA33004771584_112019-F.webp")</f>
        <v/>
      </c>
      <c r="B363" t="inlineStr">
        <is>
          <t>https://http2.mlstatic.com/D_NQ_NP_941594-MLA33004771584_112019-F.webp</t>
        </is>
      </c>
      <c r="C363" t="inlineStr">
        <is>
          <t>N-random</t>
        </is>
      </c>
      <c r="D363" t="b">
        <v>0</v>
      </c>
      <c r="E363" t="b">
        <v>0</v>
      </c>
      <c r="F363" t="inlineStr">
        <is>
          <t>none</t>
        </is>
      </c>
      <c r="G363" t="inlineStr"/>
      <c r="H363" t="inlineStr">
        <is>
          <t>high</t>
        </is>
      </c>
      <c r="I363" t="b">
        <v>0</v>
      </c>
      <c r="J363" t="b">
        <v>0</v>
      </c>
      <c r="K363" t="inlineStr"/>
      <c r="L363" t="inlineStr">
        <is>
          <t xml:space="preserve">2 EDICIÓN: CORREGIDA Y AUMENTADA
GUÍA DE
NUTRICIÓN Y
COCINA
CONSCIENTE
SİNTESIS TEÓRICA Y PAUTAS PRÁCTICAS PARA LA TRANSICIÓN
DIEGO SAN
INCLUYE
170
RECETAS
EDITORIAL DUNKEN
</t>
        </is>
      </c>
      <c r="M363" t="inlineStr"/>
    </row>
    <row r="364">
      <c r="A364">
        <f>IMAGE("https://http2.mlstatic.com/D_NQ_NP_856187-CBT113359708227_062026-F.webp")</f>
        <v/>
      </c>
      <c r="B364" t="inlineStr">
        <is>
          <t>https://http2.mlstatic.com/D_NQ_NP_856187-CBT113359708227_062026-F.webp</t>
        </is>
      </c>
      <c r="C364" t="inlineStr">
        <is>
          <t>N-random</t>
        </is>
      </c>
      <c r="D364" t="b">
        <v>0</v>
      </c>
      <c r="E364" t="b">
        <v>0</v>
      </c>
      <c r="F364" t="inlineStr">
        <is>
          <t>none</t>
        </is>
      </c>
      <c r="G364" t="inlineStr"/>
      <c r="H364" t="inlineStr">
        <is>
          <t>low</t>
        </is>
      </c>
      <c r="I364" t="inlineStr"/>
      <c r="J364" t="b">
        <v>0</v>
      </c>
      <c r="K364" t="inlineStr"/>
      <c r="L364" t="inlineStr"/>
      <c r="M364" t="inlineStr"/>
    </row>
    <row r="365">
      <c r="A365">
        <f>IMAGE("https://http2.mlstatic.com/D_NQ_NP_965921-MLM105254461875_012026-F.webp")</f>
        <v/>
      </c>
      <c r="B365" t="inlineStr">
        <is>
          <t>https://http2.mlstatic.com/D_NQ_NP_965921-MLM105254461875_012026-F.webp</t>
        </is>
      </c>
      <c r="C365" t="inlineStr">
        <is>
          <t>N-random</t>
        </is>
      </c>
      <c r="D365" t="b">
        <v>0</v>
      </c>
      <c r="E365" t="b">
        <v>0</v>
      </c>
      <c r="F365" t="inlineStr">
        <is>
          <t>none</t>
        </is>
      </c>
      <c r="G365" t="inlineStr"/>
      <c r="H365" t="inlineStr">
        <is>
          <t>low</t>
        </is>
      </c>
      <c r="I365" t="inlineStr"/>
      <c r="J365" t="b">
        <v>0</v>
      </c>
      <c r="K365" t="inlineStr"/>
      <c r="L365" t="inlineStr">
        <is>
          <t>Dr.Melaxin
Calcium cx
IC - 3079, 935
EMENRETE CALCIUM
VOLUME MULTI BALM
SMOOTH CORE STICK
Collagen Extract NOURISH
# Net wt. 0.31 oz./9g</t>
        </is>
      </c>
      <c r="M365" t="inlineStr"/>
    </row>
    <row r="366">
      <c r="A366">
        <f>IMAGE("https://http2.mlstatic.com/D_NQ_NP_626623-MLB53859421088_022023-F.webp")</f>
        <v/>
      </c>
      <c r="B366" t="inlineStr">
        <is>
          <t>https://http2.mlstatic.com/D_NQ_NP_626623-MLB53859421088_022023-F.webp</t>
        </is>
      </c>
      <c r="C366" t="inlineStr">
        <is>
          <t>N-random</t>
        </is>
      </c>
      <c r="D366" t="b">
        <v>0</v>
      </c>
      <c r="E366" t="b">
        <v>0</v>
      </c>
      <c r="F366" t="inlineStr">
        <is>
          <t>none</t>
        </is>
      </c>
      <c r="G366" t="inlineStr"/>
      <c r="H366" t="inlineStr">
        <is>
          <t>low</t>
        </is>
      </c>
      <c r="I366" t="inlineStr"/>
      <c r="J366" t="b">
        <v>0</v>
      </c>
      <c r="K366" t="inlineStr"/>
      <c r="L366" t="inlineStr">
        <is>
          <t>MICRO-V
MICRO</t>
        </is>
      </c>
      <c r="M366" t="inlineStr"/>
    </row>
    <row r="367">
      <c r="A367">
        <f>IMAGE("https://http2.mlstatic.com/D_NQ_NP_923405-CBT112205545238_062026-F.webp")</f>
        <v/>
      </c>
      <c r="B367" t="inlineStr">
        <is>
          <t>https://http2.mlstatic.com/D_NQ_NP_923405-CBT112205545238_062026-F.webp</t>
        </is>
      </c>
      <c r="C367" t="inlineStr">
        <is>
          <t>N-random</t>
        </is>
      </c>
      <c r="D367" t="b">
        <v>0</v>
      </c>
      <c r="E367" t="b">
        <v>0</v>
      </c>
      <c r="F367" t="inlineStr">
        <is>
          <t>none</t>
        </is>
      </c>
      <c r="G367" t="inlineStr"/>
      <c r="H367" t="inlineStr">
        <is>
          <t>low</t>
        </is>
      </c>
      <c r="I367" t="inlineStr"/>
      <c r="J367" t="b">
        <v>0</v>
      </c>
      <c r="K367" t="inlineStr"/>
      <c r="L367" t="inlineStr"/>
      <c r="M367" t="inlineStr"/>
    </row>
    <row r="368">
      <c r="A368">
        <f>IMAGE("https://http2.mlstatic.com/D_NQ_NP_618793-CBT112301740158_062026-F.webp")</f>
        <v/>
      </c>
      <c r="B368" t="inlineStr">
        <is>
          <t>https://http2.mlstatic.com/D_NQ_NP_618793-CBT112301740158_062026-F.webp</t>
        </is>
      </c>
      <c r="C368" t="inlineStr">
        <is>
          <t>N-random</t>
        </is>
      </c>
      <c r="D368" t="b">
        <v>0</v>
      </c>
      <c r="E368" t="b">
        <v>0</v>
      </c>
      <c r="F368" t="inlineStr">
        <is>
          <t>none</t>
        </is>
      </c>
      <c r="G368" t="inlineStr"/>
      <c r="H368" t="inlineStr">
        <is>
          <t>low</t>
        </is>
      </c>
      <c r="I368" t="inlineStr"/>
      <c r="J368" t="b">
        <v>0</v>
      </c>
      <c r="K368" t="inlineStr"/>
      <c r="L368" t="inlineStr">
        <is>
          <t>100PCS
오</t>
        </is>
      </c>
      <c r="M368" t="inlineStr"/>
    </row>
    <row r="369">
      <c r="A369">
        <f>IMAGE("https://http2.mlstatic.com/D_NQ_NP_968704-CBT112459178148_062026-F.webp")</f>
        <v/>
      </c>
      <c r="B369" t="inlineStr">
        <is>
          <t>https://http2.mlstatic.com/D_NQ_NP_968704-CBT112459178148_062026-F.webp</t>
        </is>
      </c>
      <c r="C369" t="inlineStr">
        <is>
          <t>N-random</t>
        </is>
      </c>
      <c r="D369" t="b">
        <v>0</v>
      </c>
      <c r="E369" t="b">
        <v>0</v>
      </c>
      <c r="F369" t="inlineStr">
        <is>
          <t>none</t>
        </is>
      </c>
      <c r="G369" t="inlineStr"/>
      <c r="H369" t="inlineStr">
        <is>
          <t>low</t>
        </is>
      </c>
      <c r="I369" t="inlineStr"/>
      <c r="J369" t="b">
        <v>0</v>
      </c>
      <c r="K369" t="inlineStr"/>
      <c r="L369" t="inlineStr">
        <is>
          <t>DATE
CHECKLIST
7.
DATE
To do List
1.
2.
3.
4.
5.
6.
CHECKLIST
MON TUE WED THU F
CHECKLIST
DATE MON TUE WED THU FRI SAT SUN
To do List
To do List
1.
2.
3.
4.
MON TUE WED THU FRI SAT S
DATE
CHECKLIST
/
MON
To do List
1.
2.
3.
4.
5.
6
1.
8.
MeMo
2.
3.
4.
5.
To do List
1.
8.
2.
MeMo
3.
4.
2.
3.
4.
CHECK</t>
        </is>
      </c>
      <c r="M369" t="inlineStr"/>
    </row>
    <row r="370">
      <c r="A370">
        <f>IMAGE("https://http2.mlstatic.com/D_NQ_NP_686651-CBT90135335493_082025-F.webp")</f>
        <v/>
      </c>
      <c r="B370" t="inlineStr">
        <is>
          <t>https://http2.mlstatic.com/D_NQ_NP_686651-CBT90135335493_082025-F.webp</t>
        </is>
      </c>
      <c r="C370" t="inlineStr">
        <is>
          <t>N-random</t>
        </is>
      </c>
      <c r="D370" t="b">
        <v>0</v>
      </c>
      <c r="E370" t="b">
        <v>0</v>
      </c>
      <c r="F370" t="inlineStr">
        <is>
          <t>none</t>
        </is>
      </c>
      <c r="G370" t="inlineStr"/>
      <c r="H370" t="inlineStr">
        <is>
          <t>low</t>
        </is>
      </c>
      <c r="I370" t="inlineStr"/>
      <c r="J370" t="b">
        <v>0</v>
      </c>
      <c r="K370" t="inlineStr"/>
      <c r="L370" t="inlineStr"/>
      <c r="M370" t="inlineStr"/>
    </row>
    <row r="371">
      <c r="A371">
        <f>IMAGE("https://http2.mlstatic.com/D_NQ_NP_629663-CBT98453979037_112025-F.webp")</f>
        <v/>
      </c>
      <c r="B371" t="inlineStr">
        <is>
          <t>https://http2.mlstatic.com/D_NQ_NP_629663-CBT98453979037_112025-F.webp</t>
        </is>
      </c>
      <c r="C371" t="inlineStr">
        <is>
          <t>N-random</t>
        </is>
      </c>
      <c r="D371" t="b">
        <v>0</v>
      </c>
      <c r="E371" t="b">
        <v>0</v>
      </c>
      <c r="F371" t="inlineStr">
        <is>
          <t>none</t>
        </is>
      </c>
      <c r="G371" t="inlineStr"/>
      <c r="H371" t="inlineStr">
        <is>
          <t>low</t>
        </is>
      </c>
      <c r="I371" t="inlineStr"/>
      <c r="J371" t="b">
        <v>0</v>
      </c>
      <c r="K371" t="inlineStr"/>
      <c r="L371" t="inlineStr"/>
      <c r="M371" t="inlineStr"/>
    </row>
    <row r="372">
      <c r="A372">
        <f>IMAGE("https://http2.mlstatic.com/D_NQ_NP_601460-CBT111164253184_052026-F.webp")</f>
        <v/>
      </c>
      <c r="B372" t="inlineStr">
        <is>
          <t>https://http2.mlstatic.com/D_NQ_NP_601460-CBT111164253184_052026-F.webp</t>
        </is>
      </c>
      <c r="C372" t="inlineStr">
        <is>
          <t>N-random</t>
        </is>
      </c>
      <c r="D372" t="b">
        <v>0</v>
      </c>
      <c r="E372" t="b">
        <v>0</v>
      </c>
      <c r="F372" t="inlineStr">
        <is>
          <t>none</t>
        </is>
      </c>
      <c r="G372" t="inlineStr"/>
      <c r="H372" t="inlineStr">
        <is>
          <t>low</t>
        </is>
      </c>
      <c r="I372" t="inlineStr"/>
      <c r="J372" t="b">
        <v>0</v>
      </c>
      <c r="K372" t="inlineStr"/>
      <c r="L372" t="inlineStr"/>
      <c r="M372" t="inlineStr"/>
    </row>
    <row r="373">
      <c r="A373">
        <f>IMAGE("https://http2.mlstatic.com/D_NQ_NP_784110-CBT110445708446_052026-F.webp")</f>
        <v/>
      </c>
      <c r="B373" t="inlineStr">
        <is>
          <t>https://http2.mlstatic.com/D_NQ_NP_784110-CBT110445708446_052026-F.webp</t>
        </is>
      </c>
      <c r="C373" t="inlineStr">
        <is>
          <t>N-random</t>
        </is>
      </c>
      <c r="D373" t="b">
        <v>0</v>
      </c>
      <c r="E373" t="b">
        <v>0</v>
      </c>
      <c r="F373" t="inlineStr">
        <is>
          <t>none</t>
        </is>
      </c>
      <c r="G373" t="inlineStr"/>
      <c r="H373" t="inlineStr">
        <is>
          <t>high</t>
        </is>
      </c>
      <c r="I373" t="inlineStr"/>
      <c r="J373" t="b">
        <v>0</v>
      </c>
      <c r="K373" t="inlineStr"/>
      <c r="L373" t="inlineStr"/>
      <c r="M373" t="inlineStr"/>
    </row>
    <row r="374">
      <c r="A374">
        <f>IMAGE("https://http2.mlstatic.com/D_NQ_NP_776566-CBT108906440909_032026-F.webp")</f>
        <v/>
      </c>
      <c r="B374" t="inlineStr">
        <is>
          <t>https://http2.mlstatic.com/D_NQ_NP_776566-CBT108906440909_032026-F.webp</t>
        </is>
      </c>
      <c r="C374" t="inlineStr">
        <is>
          <t>N-random</t>
        </is>
      </c>
      <c r="D374" t="b">
        <v>0</v>
      </c>
      <c r="E374" t="b">
        <v>1</v>
      </c>
      <c r="F374" t="inlineStr">
        <is>
          <t>badge</t>
        </is>
      </c>
      <c r="G374" t="inlineStr">
        <is>
          <t>Mas vendido</t>
        </is>
      </c>
      <c r="H374" t="inlineStr">
        <is>
          <t>high</t>
        </is>
      </c>
      <c r="I374" t="b">
        <v>0</v>
      </c>
      <c r="J374" t="b">
        <v>0</v>
      </c>
      <c r="K374" t="inlineStr"/>
      <c r="L374" t="inlineStr">
        <is>
          <t>EASTER
HAPPY</t>
        </is>
      </c>
      <c r="M374" t="inlineStr"/>
    </row>
    <row r="375">
      <c r="A375">
        <f>IMAGE("https://http2.mlstatic.com/D_NQ_NP_610845-CBT111860513566_062026-F.webp")</f>
        <v/>
      </c>
      <c r="B375" t="inlineStr">
        <is>
          <t>https://http2.mlstatic.com/D_NQ_NP_610845-CBT111860513566_062026-F.webp</t>
        </is>
      </c>
      <c r="C375" t="inlineStr">
        <is>
          <t>N-random</t>
        </is>
      </c>
      <c r="D375" t="b">
        <v>0</v>
      </c>
      <c r="E375" t="b">
        <v>0</v>
      </c>
      <c r="F375" t="inlineStr">
        <is>
          <t>none</t>
        </is>
      </c>
      <c r="G375" t="inlineStr"/>
      <c r="H375" t="inlineStr">
        <is>
          <t>low</t>
        </is>
      </c>
      <c r="I375" t="inlineStr"/>
      <c r="J375" t="b">
        <v>0</v>
      </c>
      <c r="K375" t="inlineStr"/>
      <c r="L375" t="inlineStr"/>
      <c r="M375" t="inlineStr"/>
    </row>
    <row r="376">
      <c r="A376">
        <f>IMAGE("https://http2.mlstatic.com/D_NQ_NP_811908-CBT109744883721_032026-F.webp")</f>
        <v/>
      </c>
      <c r="B376" t="inlineStr">
        <is>
          <t>https://http2.mlstatic.com/D_NQ_NP_811908-CBT109744883721_032026-F.webp</t>
        </is>
      </c>
      <c r="C376" t="inlineStr">
        <is>
          <t>N-random</t>
        </is>
      </c>
      <c r="D376" t="b">
        <v>0</v>
      </c>
      <c r="E376" t="b">
        <v>0</v>
      </c>
      <c r="F376" t="inlineStr">
        <is>
          <t>none</t>
        </is>
      </c>
      <c r="G376" t="inlineStr"/>
      <c r="H376" t="inlineStr">
        <is>
          <t>low</t>
        </is>
      </c>
      <c r="I376" t="inlineStr"/>
      <c r="J376" t="b">
        <v>0</v>
      </c>
      <c r="K376" t="inlineStr"/>
      <c r="L376" t="inlineStr">
        <is>
          <t>OFIS
COLU
Опр
011816
011</t>
        </is>
      </c>
      <c r="M376" t="inlineStr"/>
    </row>
    <row r="377">
      <c r="A377">
        <f>IMAGE("https://http2.mlstatic.com/D_NQ_NP_913815-CBT109106123249_032026-F.webp")</f>
        <v/>
      </c>
      <c r="B377" t="inlineStr">
        <is>
          <t>https://http2.mlstatic.com/D_NQ_NP_913815-CBT109106123249_032026-F.webp</t>
        </is>
      </c>
      <c r="C377" t="inlineStr">
        <is>
          <t>N-random</t>
        </is>
      </c>
      <c r="D377" t="b">
        <v>0</v>
      </c>
      <c r="E377" t="b">
        <v>0</v>
      </c>
      <c r="F377" t="inlineStr">
        <is>
          <t>none</t>
        </is>
      </c>
      <c r="G377" t="inlineStr"/>
      <c r="H377" t="inlineStr">
        <is>
          <t>low</t>
        </is>
      </c>
      <c r="I377" t="inlineStr"/>
      <c r="J377" t="b">
        <v>0</v>
      </c>
      <c r="K377" t="inlineStr"/>
      <c r="L377" t="inlineStr"/>
      <c r="M377" t="inlineStr"/>
    </row>
    <row r="378">
      <c r="A378">
        <f>IMAGE("https://http2.mlstatic.com/D_NQ_NP_937877-CBT113278577385_062026-F.webp")</f>
        <v/>
      </c>
      <c r="B378" t="inlineStr">
        <is>
          <t>https://http2.mlstatic.com/D_NQ_NP_937877-CBT113278577385_062026-F.webp</t>
        </is>
      </c>
      <c r="C378" t="inlineStr">
        <is>
          <t>N-random</t>
        </is>
      </c>
      <c r="D378" t="b">
        <v>0</v>
      </c>
      <c r="E378" t="b">
        <v>0</v>
      </c>
      <c r="F378" t="inlineStr">
        <is>
          <t>none</t>
        </is>
      </c>
      <c r="G378" t="inlineStr"/>
      <c r="H378" t="inlineStr">
        <is>
          <t>low</t>
        </is>
      </c>
      <c r="I378" t="b">
        <v>0</v>
      </c>
      <c r="J378" t="b">
        <v>0</v>
      </c>
      <c r="K378" t="inlineStr"/>
      <c r="L378" t="inlineStr">
        <is>
          <t>Safety
Confidentiality</t>
        </is>
      </c>
      <c r="M378" t="inlineStr"/>
    </row>
    <row r="379">
      <c r="A379">
        <f>IMAGE("https://http2.mlstatic.com/D_NQ_NP_949190-CBT112408255110_062026-F.webp")</f>
        <v/>
      </c>
      <c r="B379" t="inlineStr">
        <is>
          <t>https://http2.mlstatic.com/D_NQ_NP_949190-CBT112408255110_062026-F.webp</t>
        </is>
      </c>
      <c r="C379" t="inlineStr">
        <is>
          <t>N-random</t>
        </is>
      </c>
      <c r="D379" t="b">
        <v>0</v>
      </c>
      <c r="E379" t="b">
        <v>0</v>
      </c>
      <c r="F379" t="inlineStr">
        <is>
          <t>none</t>
        </is>
      </c>
      <c r="G379" t="inlineStr"/>
      <c r="H379" t="inlineStr">
        <is>
          <t>low</t>
        </is>
      </c>
      <c r="I379" t="inlineStr"/>
      <c r="J379" t="b">
        <v>0</v>
      </c>
      <c r="K379" t="inlineStr"/>
      <c r="L379" t="inlineStr">
        <is>
          <t>长9.2cm 宽5.3cm 高5.5cm 重约95g</t>
        </is>
      </c>
      <c r="M379" t="inlineStr"/>
    </row>
    <row r="380">
      <c r="A380">
        <f>IMAGE("https://http2.mlstatic.com/D_NQ_NP_635211-CBT113370561339_062026-F.webp")</f>
        <v/>
      </c>
      <c r="B380" t="inlineStr">
        <is>
          <t>https://http2.mlstatic.com/D_NQ_NP_635211-CBT113370561339_062026-F.webp</t>
        </is>
      </c>
      <c r="C380" t="inlineStr">
        <is>
          <t>N-random</t>
        </is>
      </c>
      <c r="D380" t="b">
        <v>0</v>
      </c>
      <c r="E380" t="b">
        <v>0</v>
      </c>
      <c r="F380" t="inlineStr">
        <is>
          <t>none</t>
        </is>
      </c>
      <c r="G380" t="inlineStr"/>
      <c r="H380" t="inlineStr">
        <is>
          <t>low</t>
        </is>
      </c>
      <c r="I380" t="inlineStr"/>
      <c r="J380" t="b">
        <v>0</v>
      </c>
      <c r="K380" t="inlineStr"/>
      <c r="L380" t="inlineStr"/>
      <c r="M380" t="inlineStr"/>
    </row>
    <row r="381">
      <c r="A381">
        <f>IMAGE("https://http2.mlstatic.com/D_NQ_NP_700677-MLB103498330678_012026-F.webp")</f>
        <v/>
      </c>
      <c r="B381" t="inlineStr">
        <is>
          <t>https://http2.mlstatic.com/D_NQ_NP_700677-MLB103498330678_012026-F.webp</t>
        </is>
      </c>
      <c r="C381" t="inlineStr">
        <is>
          <t>N-random</t>
        </is>
      </c>
      <c r="D381" t="b">
        <v>0</v>
      </c>
      <c r="E381" t="b">
        <v>0</v>
      </c>
      <c r="F381" t="inlineStr">
        <is>
          <t>none</t>
        </is>
      </c>
      <c r="G381" t="inlineStr"/>
      <c r="H381" t="inlineStr">
        <is>
          <t>low</t>
        </is>
      </c>
      <c r="I381" t="inlineStr"/>
      <c r="J381" t="b">
        <v>0</v>
      </c>
      <c r="K381" t="inlineStr"/>
      <c r="L381" t="inlineStr">
        <is>
          <t>LORON
Loward Backend</t>
        </is>
      </c>
      <c r="M381" t="inlineStr"/>
    </row>
    <row r="382">
      <c r="A382">
        <f>IMAGE("https://http2.mlstatic.com/D_NQ_NP_698012-CBT113403371165_062026-F.webp")</f>
        <v/>
      </c>
      <c r="B382" t="inlineStr">
        <is>
          <t>https://http2.mlstatic.com/D_NQ_NP_698012-CBT113403371165_062026-F.webp</t>
        </is>
      </c>
      <c r="C382" t="inlineStr">
        <is>
          <t>N-random</t>
        </is>
      </c>
      <c r="D382" t="b">
        <v>0</v>
      </c>
      <c r="E382" t="b">
        <v>0</v>
      </c>
      <c r="F382" t="inlineStr">
        <is>
          <t>none</t>
        </is>
      </c>
      <c r="G382" t="inlineStr"/>
      <c r="H382" t="inlineStr">
        <is>
          <t>low</t>
        </is>
      </c>
      <c r="I382" t="inlineStr"/>
      <c r="J382" t="b">
        <v>0</v>
      </c>
      <c r="K382" t="inlineStr"/>
      <c r="L382" t="inlineStr">
        <is>
          <t>26
B</t>
        </is>
      </c>
      <c r="M382" t="inlineStr"/>
    </row>
    <row r="383">
      <c r="A383">
        <f>IMAGE("https://http2.mlstatic.com/D_NQ_NP_617901-CBT113583490231_062026-F.webp")</f>
        <v/>
      </c>
      <c r="B383" t="inlineStr">
        <is>
          <t>https://http2.mlstatic.com/D_NQ_NP_617901-CBT113583490231_062026-F.webp</t>
        </is>
      </c>
      <c r="C383" t="inlineStr">
        <is>
          <t>N-random</t>
        </is>
      </c>
      <c r="D383" t="b">
        <v>0</v>
      </c>
      <c r="E383" t="b">
        <v>0</v>
      </c>
      <c r="F383" t="inlineStr">
        <is>
          <t>none</t>
        </is>
      </c>
      <c r="G383" t="inlineStr"/>
      <c r="H383" t="inlineStr">
        <is>
          <t>low</t>
        </is>
      </c>
      <c r="I383" t="inlineStr"/>
      <c r="J383" t="b">
        <v>0</v>
      </c>
      <c r="K383" t="inlineStr"/>
      <c r="L383" t="inlineStr"/>
      <c r="M383" t="inlineStr"/>
    </row>
    <row r="384">
      <c r="A384">
        <f>IMAGE("https://http2.mlstatic.com/D_NQ_NP_735158-MCO113638215027_062026-F.webp")</f>
        <v/>
      </c>
      <c r="B384" t="inlineStr">
        <is>
          <t>https://http2.mlstatic.com/D_NQ_NP_735158-MCO113638215027_062026-F.webp</t>
        </is>
      </c>
      <c r="C384" t="inlineStr">
        <is>
          <t>N-random</t>
        </is>
      </c>
      <c r="D384" t="b">
        <v>0</v>
      </c>
      <c r="E384" t="b">
        <v>0</v>
      </c>
      <c r="F384" t="inlineStr">
        <is>
          <t>none</t>
        </is>
      </c>
      <c r="G384" t="inlineStr"/>
      <c r="H384" t="inlineStr">
        <is>
          <t>low</t>
        </is>
      </c>
      <c r="I384" t="inlineStr"/>
      <c r="J384" t="b">
        <v>0</v>
      </c>
      <c r="K384" t="inlineStr"/>
      <c r="L384" t="inlineStr">
        <is>
          <t>Nourish TRUFF/ur
ARGAN VOLUME MASK
MASQUE VOLUMATEUR À L'ARGAN
Infused with Black Truffle Extract
Fabriqué A Partir D'extrait De Truffe Noire
250ml e 8.45 fl. oz</t>
        </is>
      </c>
      <c r="M384" t="inlineStr"/>
    </row>
    <row r="385">
      <c r="A385">
        <f>IMAGE("https://http2.mlstatic.com/D_NQ_NP_891234-CBT112433148304_062026-F.webp")</f>
        <v/>
      </c>
      <c r="B385" t="inlineStr">
        <is>
          <t>https://http2.mlstatic.com/D_NQ_NP_891234-CBT112433148304_062026-F.webp</t>
        </is>
      </c>
      <c r="C385" t="inlineStr">
        <is>
          <t>N-random</t>
        </is>
      </c>
      <c r="D385" t="b">
        <v>0</v>
      </c>
      <c r="E385" t="b">
        <v>0</v>
      </c>
      <c r="F385" t="inlineStr">
        <is>
          <t>none</t>
        </is>
      </c>
      <c r="G385" t="inlineStr"/>
      <c r="H385" t="inlineStr">
        <is>
          <t>low</t>
        </is>
      </c>
      <c r="I385" t="inlineStr"/>
      <c r="J385" t="b">
        <v>0</v>
      </c>
      <c r="K385" t="inlineStr"/>
      <c r="L385" t="inlineStr"/>
      <c r="M385" t="inlineStr"/>
    </row>
    <row r="386">
      <c r="A386">
        <f>IMAGE("https://http2.mlstatic.com/D_NQ_NP_965833-MLB87097968347_072025-F.webp")</f>
        <v/>
      </c>
      <c r="B386" t="inlineStr">
        <is>
          <t>https://http2.mlstatic.com/D_NQ_NP_965833-MLB87097968347_072025-F.webp</t>
        </is>
      </c>
      <c r="C386" t="inlineStr">
        <is>
          <t>N-random</t>
        </is>
      </c>
      <c r="D386" t="b">
        <v>0</v>
      </c>
      <c r="E386" t="b">
        <v>0</v>
      </c>
      <c r="F386" t="inlineStr">
        <is>
          <t>none</t>
        </is>
      </c>
      <c r="G386" t="inlineStr"/>
      <c r="H386" t="inlineStr">
        <is>
          <t>low</t>
        </is>
      </c>
      <c r="I386" t="inlineStr"/>
      <c r="J386" t="b">
        <v>0</v>
      </c>
      <c r="K386" t="inlineStr"/>
      <c r="L386" t="inlineStr"/>
      <c r="M386" t="inlineStr"/>
    </row>
    <row r="387">
      <c r="A387">
        <f>IMAGE("https://http2.mlstatic.com/D_NQ_NP_812146-CBT53734176312_022023-F.webp")</f>
        <v/>
      </c>
      <c r="B387" t="inlineStr">
        <is>
          <t>https://http2.mlstatic.com/D_NQ_NP_812146-CBT53734176312_022023-F.webp</t>
        </is>
      </c>
      <c r="C387" t="inlineStr">
        <is>
          <t>N-random</t>
        </is>
      </c>
      <c r="D387" t="b">
        <v>0</v>
      </c>
      <c r="E387" t="b">
        <v>0</v>
      </c>
      <c r="F387" t="inlineStr">
        <is>
          <t>none</t>
        </is>
      </c>
      <c r="G387" t="inlineStr"/>
      <c r="H387" t="inlineStr">
        <is>
          <t>low</t>
        </is>
      </c>
      <c r="I387" t="inlineStr"/>
      <c r="J387" t="b">
        <v>0</v>
      </c>
      <c r="K387" t="inlineStr"/>
      <c r="L387" t="inlineStr">
        <is>
          <t>00
hic Ocepe
KAWAN
MAD
MARINE RESCUE
00
MARINE RESCUE
MARINE RESCUE
T
3</t>
        </is>
      </c>
      <c r="M387" t="inlineStr"/>
    </row>
    <row r="388">
      <c r="A388">
        <f>IMAGE("https://http2.mlstatic.com/D_NQ_NP_779472-CBT111132253910_052026-F.webp")</f>
        <v/>
      </c>
      <c r="B388" t="inlineStr">
        <is>
          <t>https://http2.mlstatic.com/D_NQ_NP_779472-CBT111132253910_052026-F.webp</t>
        </is>
      </c>
      <c r="C388" t="inlineStr">
        <is>
          <t>N-random</t>
        </is>
      </c>
      <c r="D388" t="b">
        <v>0</v>
      </c>
      <c r="E388" t="b">
        <v>1</v>
      </c>
      <c r="F388" t="inlineStr">
        <is>
          <t>badge</t>
        </is>
      </c>
      <c r="G388" t="inlineStr">
        <is>
          <t>un sello que imita una etiqueta oficial de MercadoLibre</t>
        </is>
      </c>
      <c r="H388" t="inlineStr">
        <is>
          <t>medium</t>
        </is>
      </c>
      <c r="I388" t="b">
        <v>0</v>
      </c>
      <c r="J388" t="b">
        <v>0</v>
      </c>
      <c r="K388" t="inlineStr"/>
      <c r="L388" t="inlineStr">
        <is>
          <t>CLINICALLY PROVE
FOR
SENSITIVE
SKIN
OR SENSITIVES
Gillette
Gillette
SKINGUARD
8
Gillette</t>
        </is>
      </c>
      <c r="M388" t="inlineStr"/>
    </row>
    <row r="389">
      <c r="A389">
        <f>IMAGE("https://http2.mlstatic.com/D_NQ_NP_973316-CBT111635661788_062026-F.webp")</f>
        <v/>
      </c>
      <c r="B389" t="inlineStr">
        <is>
          <t>https://http2.mlstatic.com/D_NQ_NP_973316-CBT111635661788_062026-F.webp</t>
        </is>
      </c>
      <c r="C389" t="inlineStr">
        <is>
          <t>N-random</t>
        </is>
      </c>
      <c r="D389" t="b">
        <v>0</v>
      </c>
      <c r="E389" t="b">
        <v>0</v>
      </c>
      <c r="F389" t="inlineStr">
        <is>
          <t>none</t>
        </is>
      </c>
      <c r="G389" t="inlineStr"/>
      <c r="H389" t="inlineStr">
        <is>
          <t>low</t>
        </is>
      </c>
      <c r="I389" t="b">
        <v>0</v>
      </c>
      <c r="J389" t="b">
        <v>0</v>
      </c>
      <c r="K389" t="inlineStr"/>
      <c r="L389" t="inlineStr">
        <is>
          <t>ZOMM
LONG NIB MARKER
CH-1122
20MM 长度
LONG NIB MARKER
CH-1122
20MM K
LONG NIB MARKER
CH-1122)
20MM K
LONG NIB MARKER
CH-1122)
20MM 长度
LONG NIB MARKER
(CH-1122</t>
        </is>
      </c>
      <c r="M389" t="inlineStr"/>
    </row>
    <row r="390">
      <c r="A390">
        <f>IMAGE("https://http2.mlstatic.com/D_NQ_NP_844469-MLM102394687080_122025-F.webp")</f>
        <v/>
      </c>
      <c r="B390" t="inlineStr">
        <is>
          <t>https://http2.mlstatic.com/D_NQ_NP_844469-MLM102394687080_122025-F.webp</t>
        </is>
      </c>
      <c r="C390" t="inlineStr">
        <is>
          <t>N-random</t>
        </is>
      </c>
      <c r="D390" t="b">
        <v>0</v>
      </c>
      <c r="E390" t="b">
        <v>0</v>
      </c>
      <c r="F390" t="inlineStr">
        <is>
          <t>none</t>
        </is>
      </c>
      <c r="G390" t="inlineStr"/>
      <c r="H390" t="inlineStr">
        <is>
          <t>low</t>
        </is>
      </c>
      <c r="I390" t="inlineStr"/>
      <c r="J390" t="b">
        <v>0</v>
      </c>
      <c r="K390" t="inlineStr"/>
      <c r="L390" t="inlineStr">
        <is>
          <t>TRULY
JELLY
TRULY
TRULY
JELLY BOOSTER
PIGMENT BODY POTION
POTION CORPORELLE PIGMENTÉE
POMEGRANATE EXTRACT,
VITAMIN B12, SPIRULINA
+ EUCALYPTUS
EXTRAIT DE GRENADE,
VITAMINE B12, SPIRULINE
EUCALYPTUS
VEGAN CLEAN
VEGANE PUR ET SAIN
3.1 FL OZ/90 ML
JELLY BOOSTER
PIGMENT BODY POTION
POTION CORPORELLE PIG</t>
        </is>
      </c>
      <c r="M390" t="inlineStr"/>
    </row>
    <row r="391">
      <c r="A391">
        <f>IMAGE("https://http2.mlstatic.com/D_NQ_NP_952838-MLB92669880612_092025-F.webp")</f>
        <v/>
      </c>
      <c r="B391" t="inlineStr">
        <is>
          <t>https://http2.mlstatic.com/D_NQ_NP_952838-MLB92669880612_092025-F.webp</t>
        </is>
      </c>
      <c r="C391" t="inlineStr">
        <is>
          <t>N-random</t>
        </is>
      </c>
      <c r="D391" t="b">
        <v>0</v>
      </c>
      <c r="E391" t="b">
        <v>0</v>
      </c>
      <c r="F391" t="inlineStr">
        <is>
          <t>none</t>
        </is>
      </c>
      <c r="G391" t="inlineStr"/>
      <c r="H391" t="inlineStr">
        <is>
          <t>low</t>
        </is>
      </c>
      <c r="I391" t="b">
        <v>0</v>
      </c>
      <c r="J391" t="b">
        <v>0</v>
      </c>
      <c r="K391" t="inlineStr"/>
      <c r="L391" t="inlineStr"/>
      <c r="M391" t="inlineStr"/>
    </row>
    <row r="392">
      <c r="A392">
        <f>IMAGE("https://http2.mlstatic.com/D_NQ_NP_693243-MLM84779009609_052025-F.webp")</f>
        <v/>
      </c>
      <c r="B392" t="inlineStr">
        <is>
          <t>https://http2.mlstatic.com/D_NQ_NP_693243-MLM84779009609_052025-F.webp</t>
        </is>
      </c>
      <c r="C392" t="inlineStr">
        <is>
          <t>N-random</t>
        </is>
      </c>
      <c r="D392" t="b">
        <v>0</v>
      </c>
      <c r="E392" t="b">
        <v>0</v>
      </c>
      <c r="F392" t="inlineStr">
        <is>
          <t>none</t>
        </is>
      </c>
      <c r="G392" t="inlineStr"/>
      <c r="H392" t="inlineStr">
        <is>
          <t>low</t>
        </is>
      </c>
      <c r="I392" t="inlineStr"/>
      <c r="J392" t="b">
        <v>0</v>
      </c>
      <c r="K392" t="inlineStr"/>
      <c r="L392" t="inlineStr"/>
      <c r="M392" t="inlineStr"/>
    </row>
    <row r="393">
      <c r="A393">
        <f>IMAGE("https://http2.mlstatic.com/D_NQ_NP_865615-CBT112214276670_062026-F.webp")</f>
        <v/>
      </c>
      <c r="B393" t="inlineStr">
        <is>
          <t>https://http2.mlstatic.com/D_NQ_NP_865615-CBT112214276670_062026-F.webp</t>
        </is>
      </c>
      <c r="C393" t="inlineStr">
        <is>
          <t>N-random</t>
        </is>
      </c>
      <c r="D393" t="b">
        <v>0</v>
      </c>
      <c r="E393" t="b">
        <v>0</v>
      </c>
      <c r="F393" t="inlineStr">
        <is>
          <t>none</t>
        </is>
      </c>
      <c r="G393" t="inlineStr"/>
      <c r="H393" t="inlineStr">
        <is>
          <t>high</t>
        </is>
      </c>
      <c r="I393" t="inlineStr"/>
      <c r="J393" t="b">
        <v>0</v>
      </c>
      <c r="K393" t="inlineStr"/>
      <c r="L393" t="inlineStr">
        <is>
          <t>Y
Ballet!
I♡
BALLET
Ballet
I
Ballet
I♥
BALLET
IV
Ballet
Ballet!
Ballet
Ballet
B
Eat Sleep Dance
Eat Sleep Dance
Eat Sleep Dance
Eat Sleep Dance
Eat Sleep Dance
Eat Sleep Dance
BA</t>
        </is>
      </c>
      <c r="M393" t="inlineStr"/>
    </row>
    <row r="394">
      <c r="A394">
        <f>IMAGE("https://http2.mlstatic.com/D_NQ_NP_820888-CBT112196846904_062026-F.webp")</f>
        <v/>
      </c>
      <c r="B394" t="inlineStr">
        <is>
          <t>https://http2.mlstatic.com/D_NQ_NP_820888-CBT112196846904_062026-F.webp</t>
        </is>
      </c>
      <c r="C394" t="inlineStr">
        <is>
          <t>N-random</t>
        </is>
      </c>
      <c r="D394" t="b">
        <v>0</v>
      </c>
      <c r="E394" t="b">
        <v>0</v>
      </c>
      <c r="F394" t="inlineStr">
        <is>
          <t>none</t>
        </is>
      </c>
      <c r="G394" t="inlineStr"/>
      <c r="H394" t="inlineStr">
        <is>
          <t>low</t>
        </is>
      </c>
      <c r="I394" t="inlineStr"/>
      <c r="J394" t="b">
        <v>0</v>
      </c>
      <c r="K394" t="inlineStr"/>
      <c r="L394" t="inlineStr"/>
      <c r="M394" t="inlineStr"/>
    </row>
    <row r="395">
      <c r="A395">
        <f>IMAGE("https://http2.mlstatic.com/D_NQ_NP_821590-MLA112460218516_062026-F.webp")</f>
        <v/>
      </c>
      <c r="B395" t="inlineStr">
        <is>
          <t>https://http2.mlstatic.com/D_NQ_NP_821590-MLA112460218516_062026-F.webp</t>
        </is>
      </c>
      <c r="C395" t="inlineStr">
        <is>
          <t>N-random</t>
        </is>
      </c>
      <c r="D395" t="b">
        <v>0</v>
      </c>
      <c r="E395" t="b">
        <v>0</v>
      </c>
      <c r="F395" t="inlineStr">
        <is>
          <t>none</t>
        </is>
      </c>
      <c r="G395" t="inlineStr"/>
      <c r="H395" t="inlineStr">
        <is>
          <t>low</t>
        </is>
      </c>
      <c r="I395" t="b">
        <v>0</v>
      </c>
      <c r="J395" t="b">
        <v>0</v>
      </c>
      <c r="K395" t="inlineStr"/>
      <c r="L395" t="inlineStr">
        <is>
          <t>a. PSVITA
EVERYBRE
E
ARMOR
Onur
S
Nis Binata DDR3
BILGADA
PlayStation Network
Only On PlayStation.
JMLB12
THE SHOW
SONY</t>
        </is>
      </c>
      <c r="M395" t="inlineStr"/>
    </row>
    <row r="396">
      <c r="A396">
        <f>IMAGE("https://http2.mlstatic.com/D_NQ_NP_846754-CBT113405622733_062026-F.webp")</f>
        <v/>
      </c>
      <c r="B396" t="inlineStr">
        <is>
          <t>https://http2.mlstatic.com/D_NQ_NP_846754-CBT113405622733_062026-F.webp</t>
        </is>
      </c>
      <c r="C396" t="inlineStr">
        <is>
          <t>N-random</t>
        </is>
      </c>
      <c r="D396" t="b">
        <v>0</v>
      </c>
      <c r="E396" t="b">
        <v>0</v>
      </c>
      <c r="F396" t="inlineStr">
        <is>
          <t>none</t>
        </is>
      </c>
      <c r="G396" t="inlineStr"/>
      <c r="H396" t="inlineStr">
        <is>
          <t>low</t>
        </is>
      </c>
      <c r="I396" t="inlineStr"/>
      <c r="J396" t="b">
        <v>0</v>
      </c>
      <c r="K396" t="inlineStr"/>
      <c r="L396" t="inlineStr"/>
      <c r="M396" t="inlineStr"/>
    </row>
    <row r="397">
      <c r="A397">
        <f>IMAGE("https://http2.mlstatic.com/D_NQ_NP_695992-MLA113630486919_062026-F.webp")</f>
        <v/>
      </c>
      <c r="B397" t="inlineStr">
        <is>
          <t>https://http2.mlstatic.com/D_NQ_NP_695992-MLA113630486919_062026-F.webp</t>
        </is>
      </c>
      <c r="C397" t="inlineStr">
        <is>
          <t>N-random</t>
        </is>
      </c>
      <c r="D397" t="b">
        <v>0</v>
      </c>
      <c r="E397" t="b">
        <v>0</v>
      </c>
      <c r="F397" t="inlineStr">
        <is>
          <t>none</t>
        </is>
      </c>
      <c r="G397" t="inlineStr"/>
      <c r="H397" t="inlineStr">
        <is>
          <t>low</t>
        </is>
      </c>
      <c r="I397" t="inlineStr"/>
      <c r="J397" t="b">
        <v>0</v>
      </c>
      <c r="K397" t="inlineStr"/>
      <c r="L397" t="inlineStr">
        <is>
          <t>PUBLISHING
FINANCIAL TIMES
FINANCIAL TIMES Guides
USING THE
FINANCIAL
PAGES
ROMESH VAITILINGAM
SIXTH EDITION
BON 1512
00
$7.74
6876 03
6583 06
B2149
511 59
102</t>
        </is>
      </c>
      <c r="M397" t="inlineStr"/>
    </row>
    <row r="398">
      <c r="A398">
        <f>IMAGE("https://http2.mlstatic.com/D_NQ_NP_746834-CBT110676594199_042026-F.webp")</f>
        <v/>
      </c>
      <c r="B398" t="inlineStr">
        <is>
          <t>https://http2.mlstatic.com/D_NQ_NP_746834-CBT110676594199_042026-F.webp</t>
        </is>
      </c>
      <c r="C398" t="inlineStr">
        <is>
          <t>N-random</t>
        </is>
      </c>
      <c r="D398" t="b">
        <v>0</v>
      </c>
      <c r="E398" t="b">
        <v>0</v>
      </c>
      <c r="F398" t="inlineStr">
        <is>
          <t>none</t>
        </is>
      </c>
      <c r="G398" t="inlineStr">
        <is>
          <t>text overlay on the product image</t>
        </is>
      </c>
      <c r="H398" t="inlineStr">
        <is>
          <t>medium</t>
        </is>
      </c>
      <c r="I398" t="inlineStr"/>
      <c r="J398" t="b">
        <v>0</v>
      </c>
      <c r="K398" t="inlineStr"/>
      <c r="L398" t="inlineStr">
        <is>
          <t>STRAY FROM THE PATH
NOWAR AS A
THE VARY WILL BE FASE
ATOLECS</t>
        </is>
      </c>
      <c r="M398" t="inlineStr"/>
    </row>
    <row r="399">
      <c r="A399">
        <f>IMAGE("https://http2.mlstatic.com/D_NQ_NP_641300-CBT102411035176_122025-F.webp")</f>
        <v/>
      </c>
      <c r="B399" t="inlineStr">
        <is>
          <t>https://http2.mlstatic.com/D_NQ_NP_641300-CBT102411035176_122025-F.webp</t>
        </is>
      </c>
      <c r="C399" t="inlineStr">
        <is>
          <t>N-random</t>
        </is>
      </c>
      <c r="D399" t="b">
        <v>0</v>
      </c>
      <c r="E399" t="b">
        <v>0</v>
      </c>
      <c r="F399" t="inlineStr">
        <is>
          <t>none</t>
        </is>
      </c>
      <c r="G399" t="inlineStr"/>
      <c r="H399" t="inlineStr">
        <is>
          <t>low</t>
        </is>
      </c>
      <c r="I399" t="b">
        <v>0</v>
      </c>
      <c r="J399" t="b">
        <v>0</v>
      </c>
      <c r="K399" t="inlineStr"/>
      <c r="L399" t="inlineStr">
        <is>
          <t>BRASIL
A.BECKER
1005
991
SRC
BRASIL</t>
        </is>
      </c>
      <c r="M399" t="inlineStr"/>
    </row>
    <row r="400">
      <c r="A400">
        <f>IMAGE("https://http2.mlstatic.com/D_NQ_NP_903220-CBT112185303202_062026-F.webp")</f>
        <v/>
      </c>
      <c r="B400" t="inlineStr">
        <is>
          <t>https://http2.mlstatic.com/D_NQ_NP_903220-CBT112185303202_062026-F.webp</t>
        </is>
      </c>
      <c r="C400" t="inlineStr">
        <is>
          <t>N-random</t>
        </is>
      </c>
      <c r="D400" t="b">
        <v>0</v>
      </c>
      <c r="E400" t="b">
        <v>0</v>
      </c>
      <c r="F400" t="inlineStr">
        <is>
          <t>none</t>
        </is>
      </c>
      <c r="G400" t="inlineStr"/>
      <c r="H400" t="inlineStr">
        <is>
          <t>low</t>
        </is>
      </c>
      <c r="I400" t="inlineStr"/>
      <c r="J400" t="b">
        <v>0</v>
      </c>
      <c r="K400" t="inlineStr"/>
      <c r="L400" t="inlineStr"/>
      <c r="M400" t="inlineStr"/>
    </row>
    <row r="401">
      <c r="A401">
        <f>IMAGE("https://http2.mlstatic.com/D_NQ_NP_812393-CBT113650708727_062026-F.webp")</f>
        <v/>
      </c>
      <c r="B401" t="inlineStr">
        <is>
          <t>https://http2.mlstatic.com/D_NQ_NP_812393-CBT113650708727_062026-F.webp</t>
        </is>
      </c>
      <c r="C401" t="inlineStr">
        <is>
          <t>N-random</t>
        </is>
      </c>
      <c r="D401" t="b">
        <v>0</v>
      </c>
      <c r="E401" t="b">
        <v>0</v>
      </c>
      <c r="F401" t="inlineStr">
        <is>
          <t>none</t>
        </is>
      </c>
      <c r="G401" t="inlineStr"/>
      <c r="H401" t="inlineStr">
        <is>
          <t>low</t>
        </is>
      </c>
      <c r="I401" t="inlineStr"/>
      <c r="J401" t="b">
        <v>0</v>
      </c>
      <c r="K401" t="inlineStr"/>
      <c r="L401" t="inlineStr">
        <is>
          <t>FRESH CUT
GARDE
Bouquet's Stemce Bloods</t>
        </is>
      </c>
      <c r="M401" t="inlineStr"/>
    </row>
    <row r="402">
      <c r="A402">
        <f>IMAGE("https://http2.mlstatic.com/D_NQ_NP_947838-CBT109892305556_042026-F.webp")</f>
        <v/>
      </c>
      <c r="B402" t="inlineStr">
        <is>
          <t>https://http2.mlstatic.com/D_NQ_NP_947838-CBT109892305556_042026-F.webp</t>
        </is>
      </c>
      <c r="C402" t="inlineStr">
        <is>
          <t>N-random</t>
        </is>
      </c>
      <c r="D402" t="b">
        <v>0</v>
      </c>
      <c r="E402" t="b">
        <v>0</v>
      </c>
      <c r="F402" t="inlineStr">
        <is>
          <t>none</t>
        </is>
      </c>
      <c r="G402" t="inlineStr"/>
      <c r="H402" t="inlineStr">
        <is>
          <t>low</t>
        </is>
      </c>
      <c r="I402" t="inlineStr"/>
      <c r="J402" t="b">
        <v>0</v>
      </c>
      <c r="K402" t="inlineStr"/>
      <c r="L402" t="inlineStr"/>
      <c r="M402" t="inlineStr"/>
    </row>
    <row r="403">
      <c r="A403">
        <f>IMAGE("https://http2.mlstatic.com/D_NQ_NP_905959-MLM92949349377_092025-F.webp")</f>
        <v/>
      </c>
      <c r="B403" t="inlineStr">
        <is>
          <t>https://http2.mlstatic.com/D_NQ_NP_905959-MLM92949349377_092025-F.webp</t>
        </is>
      </c>
      <c r="C403" t="inlineStr">
        <is>
          <t>N-random</t>
        </is>
      </c>
      <c r="D403" t="b">
        <v>0</v>
      </c>
      <c r="E403" t="b">
        <v>0</v>
      </c>
      <c r="F403" t="inlineStr">
        <is>
          <t>none</t>
        </is>
      </c>
      <c r="G403" t="inlineStr"/>
      <c r="H403" t="inlineStr">
        <is>
          <t>low</t>
        </is>
      </c>
      <c r="I403" t="inlineStr"/>
      <c r="J403" t="b">
        <v>0</v>
      </c>
      <c r="K403" t="inlineStr"/>
      <c r="L403" t="inlineStr"/>
      <c r="M403" t="inlineStr"/>
    </row>
    <row r="404">
      <c r="A404">
        <f>IMAGE("https://http2.mlstatic.com/D_NQ_NP_659691-CBT113415056643_062026-F.webp")</f>
        <v/>
      </c>
      <c r="B404" t="inlineStr">
        <is>
          <t>https://http2.mlstatic.com/D_NQ_NP_659691-CBT113415056643_062026-F.webp</t>
        </is>
      </c>
      <c r="C404" t="inlineStr">
        <is>
          <t>N-random</t>
        </is>
      </c>
      <c r="D404" t="b">
        <v>0</v>
      </c>
      <c r="E404" t="b">
        <v>0</v>
      </c>
      <c r="F404" t="inlineStr">
        <is>
          <t>none</t>
        </is>
      </c>
      <c r="G404" t="inlineStr"/>
      <c r="H404" t="inlineStr">
        <is>
          <t>low</t>
        </is>
      </c>
      <c r="I404" t="inlineStr"/>
      <c r="J404" t="b">
        <v>0</v>
      </c>
      <c r="K404" t="inlineStr"/>
      <c r="L404" t="inlineStr">
        <is>
          <t>000</t>
        </is>
      </c>
      <c r="M404" t="inlineStr"/>
    </row>
    <row r="405">
      <c r="A405">
        <f>IMAGE("https://http2.mlstatic.com/D_NQ_NP_956782-CBT113395821177_062026-F.webp")</f>
        <v/>
      </c>
      <c r="B405" t="inlineStr">
        <is>
          <t>https://http2.mlstatic.com/D_NQ_NP_956782-CBT113395821177_062026-F.webp</t>
        </is>
      </c>
      <c r="C405" t="inlineStr">
        <is>
          <t>N-random</t>
        </is>
      </c>
      <c r="D405" t="b">
        <v>0</v>
      </c>
      <c r="E405" t="b">
        <v>0</v>
      </c>
      <c r="F405" t="inlineStr">
        <is>
          <t>none</t>
        </is>
      </c>
      <c r="G405" t="inlineStr"/>
      <c r="H405" t="inlineStr">
        <is>
          <t>low</t>
        </is>
      </c>
      <c r="I405" t="b">
        <v>0</v>
      </c>
      <c r="J405" t="b">
        <v>0</v>
      </c>
      <c r="K405" t="inlineStr"/>
      <c r="L405" t="inlineStr"/>
      <c r="M405" t="inlineStr"/>
    </row>
    <row r="406">
      <c r="A406">
        <f>IMAGE("https://http2.mlstatic.com/D_NQ_NP_960132-CBT113440046759_062026-F.webp")</f>
        <v/>
      </c>
      <c r="B406" t="inlineStr">
        <is>
          <t>https://http2.mlstatic.com/D_NQ_NP_960132-CBT113440046759_062026-F.webp</t>
        </is>
      </c>
      <c r="C406" t="inlineStr">
        <is>
          <t>N-random</t>
        </is>
      </c>
      <c r="D406" t="b">
        <v>0</v>
      </c>
      <c r="E406" t="b">
        <v>0</v>
      </c>
      <c r="F406" t="inlineStr">
        <is>
          <t>none</t>
        </is>
      </c>
      <c r="G406" t="inlineStr"/>
      <c r="H406" t="inlineStr">
        <is>
          <t>low</t>
        </is>
      </c>
      <c r="I406" t="b">
        <v>0</v>
      </c>
      <c r="J406" t="b">
        <v>0</v>
      </c>
      <c r="K406" t="inlineStr"/>
      <c r="L406" t="inlineStr">
        <is>
          <t>SSELDORAUK</t>
        </is>
      </c>
      <c r="M406" t="inlineStr"/>
    </row>
    <row r="407">
      <c r="A407">
        <f>IMAGE("https://http2.mlstatic.com/D_NQ_NP_651031-CBT113657360915_062026-F.webp")</f>
        <v/>
      </c>
      <c r="B407" t="inlineStr">
        <is>
          <t>https://http2.mlstatic.com/D_NQ_NP_651031-CBT113657360915_062026-F.webp</t>
        </is>
      </c>
      <c r="C407" t="inlineStr">
        <is>
          <t>N-random</t>
        </is>
      </c>
      <c r="D407" t="b">
        <v>0</v>
      </c>
      <c r="E407" t="b">
        <v>0</v>
      </c>
      <c r="F407" t="inlineStr">
        <is>
          <t>none</t>
        </is>
      </c>
      <c r="G407" t="inlineStr"/>
      <c r="H407" t="inlineStr">
        <is>
          <t>low</t>
        </is>
      </c>
      <c r="I407" t="inlineStr"/>
      <c r="J407" t="b">
        <v>0</v>
      </c>
      <c r="K407" t="inlineStr"/>
      <c r="L407" t="inlineStr"/>
      <c r="M407" t="inlineStr"/>
    </row>
    <row r="408">
      <c r="A408">
        <f>IMAGE("https://http2.mlstatic.com/D_NQ_NP_808659-CBT112239254372_062026-F.webp")</f>
        <v/>
      </c>
      <c r="B408" t="inlineStr">
        <is>
          <t>https://http2.mlstatic.com/D_NQ_NP_808659-CBT112239254372_062026-F.webp</t>
        </is>
      </c>
      <c r="C408" t="inlineStr">
        <is>
          <t>N-random</t>
        </is>
      </c>
      <c r="D408" t="b">
        <v>0</v>
      </c>
      <c r="E408" t="b">
        <v>0</v>
      </c>
      <c r="F408" t="inlineStr">
        <is>
          <t>none</t>
        </is>
      </c>
      <c r="G408" t="inlineStr"/>
      <c r="H408" t="inlineStr">
        <is>
          <t>low</t>
        </is>
      </c>
      <c r="I408" t="inlineStr"/>
      <c r="J408" t="b">
        <v>0</v>
      </c>
      <c r="K408" t="inlineStr"/>
      <c r="L408" t="inlineStr">
        <is>
          <t>Small size/1m roll
18mm
46mm
Suitable for sliding window outer frames,
casement window outer frames
Step-type ow outer frames Step-
type outer window adhesive type
46mm</t>
        </is>
      </c>
      <c r="M408" t="inlineStr"/>
    </row>
    <row r="409">
      <c r="A409">
        <f>IMAGE("https://http2.mlstatic.com/D_NQ_NP_957306-CBT111614272688_062026-F.webp")</f>
        <v/>
      </c>
      <c r="B409" t="inlineStr">
        <is>
          <t>https://http2.mlstatic.com/D_NQ_NP_957306-CBT111614272688_062026-F.webp</t>
        </is>
      </c>
      <c r="C409" t="inlineStr">
        <is>
          <t>N-random</t>
        </is>
      </c>
      <c r="D409" t="b">
        <v>0</v>
      </c>
      <c r="E409" t="b">
        <v>0</v>
      </c>
      <c r="F409" t="inlineStr">
        <is>
          <t>none</t>
        </is>
      </c>
      <c r="G409" t="inlineStr"/>
      <c r="H409" t="inlineStr">
        <is>
          <t>low</t>
        </is>
      </c>
      <c r="I409" t="inlineStr"/>
      <c r="J409" t="b">
        <v>0</v>
      </c>
      <c r="K409" t="inlineStr"/>
      <c r="L409" t="inlineStr">
        <is>
          <t>Jakehoe
FLOOREVIVE
FLOOREVIVE
HIGH SOLID CONTENT
FLOOR POLISH
Maintains shine after drying
Forms a smooth, durable coating
Restore the shine and
texture of the floor
Jakehoe
FLOOREVIVE
150ML/5FL.OZ
FLOOREVIVE
HIGH SOLID CONTENT
FLOOR POLISH
Maintains shine after drying
Forms a smooth, durable coatin</t>
        </is>
      </c>
      <c r="M409" t="inlineStr"/>
    </row>
    <row r="410">
      <c r="A410">
        <f>IMAGE("https://http2.mlstatic.com/D_NQ_NP_974558-MLM108746108723_032026-F.webp")</f>
        <v/>
      </c>
      <c r="B410" t="inlineStr">
        <is>
          <t>https://http2.mlstatic.com/D_NQ_NP_974558-MLM108746108723_032026-F.webp</t>
        </is>
      </c>
      <c r="C410" t="inlineStr">
        <is>
          <t>N-random</t>
        </is>
      </c>
      <c r="D410" t="b">
        <v>0</v>
      </c>
      <c r="E410" t="b">
        <v>0</v>
      </c>
      <c r="F410" t="inlineStr">
        <is>
          <t>none</t>
        </is>
      </c>
      <c r="G410" t="inlineStr"/>
      <c r="H410" t="inlineStr">
        <is>
          <t>low</t>
        </is>
      </c>
      <c r="I410" t="inlineStr"/>
      <c r="J410" t="b">
        <v>0</v>
      </c>
      <c r="K410" t="inlineStr"/>
      <c r="L410" t="inlineStr">
        <is>
          <t>DO
0000</t>
        </is>
      </c>
      <c r="M410" t="inlineStr"/>
    </row>
    <row r="411">
      <c r="A411">
        <f>IMAGE("https://http2.mlstatic.com/D_NQ_NP_826910-CBT113644211335_062026-F.webp")</f>
        <v/>
      </c>
      <c r="B411" t="inlineStr">
        <is>
          <t>https://http2.mlstatic.com/D_NQ_NP_826910-CBT113644211335_062026-F.webp</t>
        </is>
      </c>
      <c r="C411" t="inlineStr">
        <is>
          <t>N-random</t>
        </is>
      </c>
      <c r="D411" t="b">
        <v>0</v>
      </c>
      <c r="E411" t="b">
        <v>0</v>
      </c>
      <c r="F411" t="inlineStr">
        <is>
          <t>none</t>
        </is>
      </c>
      <c r="G411" t="inlineStr"/>
      <c r="H411" t="inlineStr">
        <is>
          <t>low</t>
        </is>
      </c>
      <c r="I411" t="inlineStr"/>
      <c r="J411" t="b">
        <v>0</v>
      </c>
      <c r="K411" t="inlineStr"/>
      <c r="L411" t="inlineStr"/>
      <c r="M411" t="inlineStr"/>
    </row>
    <row r="412">
      <c r="A412">
        <f>IMAGE("https://http2.mlstatic.com/D_NQ_NP_708856-CBT95931308087_102025-F.webp")</f>
        <v/>
      </c>
      <c r="B412" t="inlineStr">
        <is>
          <t>https://http2.mlstatic.com/D_NQ_NP_708856-CBT95931308087_102025-F.webp</t>
        </is>
      </c>
      <c r="C412" t="inlineStr">
        <is>
          <t>N-random</t>
        </is>
      </c>
      <c r="D412" t="b">
        <v>0</v>
      </c>
      <c r="E412" t="b">
        <v>0</v>
      </c>
      <c r="F412" t="inlineStr">
        <is>
          <t>none</t>
        </is>
      </c>
      <c r="G412" t="inlineStr"/>
      <c r="H412" t="inlineStr">
        <is>
          <t>low</t>
        </is>
      </c>
      <c r="I412" t="inlineStr"/>
      <c r="J412" t="b">
        <v>0</v>
      </c>
      <c r="K412" t="inlineStr"/>
      <c r="L412" t="inlineStr"/>
      <c r="M412" t="inlineStr"/>
    </row>
    <row r="413">
      <c r="A413">
        <f>IMAGE("https://http2.mlstatic.com/D_NQ_NP_975333-CBT112281978692_062026-F.webp")</f>
        <v/>
      </c>
      <c r="B413" t="inlineStr">
        <is>
          <t>https://http2.mlstatic.com/D_NQ_NP_975333-CBT112281978692_062026-F.webp</t>
        </is>
      </c>
      <c r="C413" t="inlineStr">
        <is>
          <t>N-random</t>
        </is>
      </c>
      <c r="D413" t="b">
        <v>0</v>
      </c>
      <c r="E413" t="b">
        <v>0</v>
      </c>
      <c r="F413" t="inlineStr">
        <is>
          <t>none</t>
        </is>
      </c>
      <c r="G413" t="inlineStr"/>
      <c r="H413" t="inlineStr">
        <is>
          <t>low</t>
        </is>
      </c>
      <c r="I413" t="inlineStr"/>
      <c r="J413" t="b">
        <v>0</v>
      </c>
      <c r="K413" t="inlineStr"/>
      <c r="L413" t="inlineStr"/>
      <c r="M413" t="inlineStr"/>
    </row>
    <row r="414">
      <c r="A414">
        <f>IMAGE("https://http2.mlstatic.com/D_NQ_NP_608115-CBT113541692841_062026-F.webp")</f>
        <v/>
      </c>
      <c r="B414" t="inlineStr">
        <is>
          <t>https://http2.mlstatic.com/D_NQ_NP_608115-CBT113541692841_062026-F.webp</t>
        </is>
      </c>
      <c r="C414" t="inlineStr">
        <is>
          <t>N-random</t>
        </is>
      </c>
      <c r="D414" t="b">
        <v>0</v>
      </c>
      <c r="E414" t="b">
        <v>1</v>
      </c>
      <c r="F414" t="inlineStr">
        <is>
          <t>badge</t>
        </is>
      </c>
      <c r="G414" t="inlineStr">
        <is>
          <t>un badge con texto que parece una etiqueta oficial de MercadoLibre</t>
        </is>
      </c>
      <c r="H414" t="inlineStr">
        <is>
          <t>medium</t>
        </is>
      </c>
      <c r="I414" t="b">
        <v>0</v>
      </c>
      <c r="J414" t="b">
        <v>0</v>
      </c>
      <c r="K414" t="inlineStr"/>
      <c r="L414" t="inlineStr">
        <is>
          <t>防风
门窗密封就用它保暖</t>
        </is>
      </c>
      <c r="M414" t="inlineStr"/>
    </row>
    <row r="415">
      <c r="A415">
        <f>IMAGE("https://http2.mlstatic.com/D_NQ_NP_946276-CBT109684745240_042026-F.webp")</f>
        <v/>
      </c>
      <c r="B415" t="inlineStr">
        <is>
          <t>https://http2.mlstatic.com/D_NQ_NP_946276-CBT109684745240_042026-F.webp</t>
        </is>
      </c>
      <c r="C415" t="inlineStr">
        <is>
          <t>N-random</t>
        </is>
      </c>
      <c r="D415" t="b">
        <v>0</v>
      </c>
      <c r="E415" t="b">
        <v>1</v>
      </c>
      <c r="F415" t="inlineStr">
        <is>
          <t>badge</t>
        </is>
      </c>
      <c r="G415" t="inlineStr">
        <is>
          <t>text overlay</t>
        </is>
      </c>
      <c r="H415" t="inlineStr">
        <is>
          <t>medium</t>
        </is>
      </c>
      <c r="I415" t="b">
        <v>0</v>
      </c>
      <c r="J415" t="b">
        <v>0</v>
      </c>
      <c r="K415" t="inlineStr"/>
      <c r="L415" t="inlineStr">
        <is>
          <t>Happy New
New Year
2025</t>
        </is>
      </c>
      <c r="M415" t="inlineStr"/>
    </row>
    <row r="416">
      <c r="A416">
        <f>IMAGE("https://http2.mlstatic.com/D_NQ_NP_602984-CBT112298385912_062026-F.webp")</f>
        <v/>
      </c>
      <c r="B416" t="inlineStr">
        <is>
          <t>https://http2.mlstatic.com/D_NQ_NP_602984-CBT112298385912_062026-F.webp</t>
        </is>
      </c>
      <c r="C416" t="inlineStr">
        <is>
          <t>N-random</t>
        </is>
      </c>
      <c r="D416" t="b">
        <v>0</v>
      </c>
      <c r="E416" t="b">
        <v>0</v>
      </c>
      <c r="F416" t="inlineStr">
        <is>
          <t>none</t>
        </is>
      </c>
      <c r="G416" t="inlineStr"/>
      <c r="H416" t="inlineStr">
        <is>
          <t>low</t>
        </is>
      </c>
      <c r="I416" t="inlineStr"/>
      <c r="J416" t="b">
        <v>0</v>
      </c>
      <c r="K416" t="inlineStr"/>
      <c r="L416" t="inlineStr">
        <is>
          <t>-</t>
        </is>
      </c>
      <c r="M416" t="inlineStr"/>
    </row>
    <row r="417">
      <c r="A417">
        <f>IMAGE("https://http2.mlstatic.com/D_NQ_NP_625423-CBT113436666243_062026-F.webp")</f>
        <v/>
      </c>
      <c r="B417" t="inlineStr">
        <is>
          <t>https://http2.mlstatic.com/D_NQ_NP_625423-CBT113436666243_062026-F.webp</t>
        </is>
      </c>
      <c r="C417" t="inlineStr">
        <is>
          <t>N-random</t>
        </is>
      </c>
      <c r="D417" t="b">
        <v>0</v>
      </c>
      <c r="E417" t="b">
        <v>0</v>
      </c>
      <c r="F417" t="inlineStr">
        <is>
          <t>none</t>
        </is>
      </c>
      <c r="G417" t="inlineStr"/>
      <c r="H417" t="inlineStr">
        <is>
          <t>low</t>
        </is>
      </c>
      <c r="I417" t="inlineStr"/>
      <c r="J417" t="b">
        <v>0</v>
      </c>
      <c r="K417" t="inlineStr"/>
      <c r="L417" t="inlineStr">
        <is>
          <t>m
- P P P P B B D D C C C C C C C C</t>
        </is>
      </c>
      <c r="M417" t="inlineStr"/>
    </row>
    <row r="418">
      <c r="A418">
        <f>IMAGE("https://http2.mlstatic.com/D_NQ_NP_890863-CBT112471283526_062026-F.webp")</f>
        <v/>
      </c>
      <c r="B418" t="inlineStr">
        <is>
          <t>https://http2.mlstatic.com/D_NQ_NP_890863-CBT112471283526_062026-F.webp</t>
        </is>
      </c>
      <c r="C418" t="inlineStr">
        <is>
          <t>N-random</t>
        </is>
      </c>
      <c r="D418" t="b">
        <v>0</v>
      </c>
      <c r="E418" t="b">
        <v>0</v>
      </c>
      <c r="F418" t="inlineStr">
        <is>
          <t>none</t>
        </is>
      </c>
      <c r="G418" t="inlineStr"/>
      <c r="H418" t="inlineStr">
        <is>
          <t>low</t>
        </is>
      </c>
      <c r="I418" t="inlineStr"/>
      <c r="J418" t="b">
        <v>0</v>
      </c>
      <c r="K418" t="inlineStr"/>
      <c r="L418" t="inlineStr">
        <is>
          <t>SUS
304</t>
        </is>
      </c>
      <c r="M418" t="inlineStr"/>
    </row>
    <row r="419">
      <c r="A419">
        <f>IMAGE("https://http2.mlstatic.com/D_NQ_NP_609931-CBT93829192007_092025-F.webp")</f>
        <v/>
      </c>
      <c r="B419" t="inlineStr">
        <is>
          <t>https://http2.mlstatic.com/D_NQ_NP_609931-CBT93829192007_092025-F.webp</t>
        </is>
      </c>
      <c r="C419" t="inlineStr">
        <is>
          <t>N-random</t>
        </is>
      </c>
      <c r="D419" t="b">
        <v>0</v>
      </c>
      <c r="E419" t="b">
        <v>0</v>
      </c>
      <c r="F419" t="inlineStr">
        <is>
          <t>none</t>
        </is>
      </c>
      <c r="G419" t="inlineStr"/>
      <c r="H419" t="inlineStr">
        <is>
          <t>low</t>
        </is>
      </c>
      <c r="I419" t="inlineStr"/>
      <c r="J419" t="b">
        <v>0</v>
      </c>
      <c r="K419" t="inlineStr"/>
      <c r="L419" t="inlineStr"/>
      <c r="M419" t="inlineStr"/>
    </row>
    <row r="420">
      <c r="A420">
        <f>IMAGE("https://http2.mlstatic.com/D_NQ_NP_948929-CBT109229481842_042026-F.webp")</f>
        <v/>
      </c>
      <c r="B420" t="inlineStr">
        <is>
          <t>https://http2.mlstatic.com/D_NQ_NP_948929-CBT109229481842_042026-F.webp</t>
        </is>
      </c>
      <c r="C420" t="inlineStr">
        <is>
          <t>N-random</t>
        </is>
      </c>
      <c r="D420" t="b">
        <v>0</v>
      </c>
      <c r="E420" t="b">
        <v>0</v>
      </c>
      <c r="F420" t="inlineStr">
        <is>
          <t>none</t>
        </is>
      </c>
      <c r="G420" t="inlineStr"/>
      <c r="H420" t="inlineStr">
        <is>
          <t>low</t>
        </is>
      </c>
      <c r="I420" t="inlineStr"/>
      <c r="J420" t="b">
        <v>0</v>
      </c>
      <c r="K420" t="inlineStr"/>
      <c r="L420" t="inlineStr">
        <is>
          <t>TROYE SIVAN
Blue
Neighbourhood
1209</t>
        </is>
      </c>
      <c r="M420" t="inlineStr"/>
    </row>
    <row r="421">
      <c r="A421">
        <f>IMAGE("https://http2.mlstatic.com/D_NQ_NP_664185-CBT111720333465_052026-F.webp")</f>
        <v/>
      </c>
      <c r="B421" t="inlineStr">
        <is>
          <t>https://http2.mlstatic.com/D_NQ_NP_664185-CBT111720333465_052026-F.webp</t>
        </is>
      </c>
      <c r="C421" t="inlineStr">
        <is>
          <t>N-random</t>
        </is>
      </c>
      <c r="D421" t="b">
        <v>0</v>
      </c>
      <c r="E421" t="b">
        <v>0</v>
      </c>
      <c r="F421" t="inlineStr">
        <is>
          <t>none</t>
        </is>
      </c>
      <c r="G421" t="inlineStr"/>
      <c r="H421" t="inlineStr">
        <is>
          <t>low</t>
        </is>
      </c>
      <c r="I421" t="inlineStr"/>
      <c r="J421" t="b">
        <v>0</v>
      </c>
      <c r="K421" t="inlineStr"/>
      <c r="L421" t="inlineStr"/>
      <c r="M421" t="inlineStr"/>
    </row>
    <row r="422">
      <c r="A422">
        <f>IMAGE("https://http2.mlstatic.com/D_NQ_NP_629727-CBT109895882014_042026-F.webp")</f>
        <v/>
      </c>
      <c r="B422" t="inlineStr">
        <is>
          <t>https://http2.mlstatic.com/D_NQ_NP_629727-CBT109895882014_042026-F.webp</t>
        </is>
      </c>
      <c r="C422" t="inlineStr">
        <is>
          <t>N-random</t>
        </is>
      </c>
      <c r="D422" t="b">
        <v>0</v>
      </c>
      <c r="E422" t="b">
        <v>0</v>
      </c>
      <c r="F422" t="inlineStr">
        <is>
          <t>none</t>
        </is>
      </c>
      <c r="G422" t="inlineStr"/>
      <c r="H422" t="inlineStr">
        <is>
          <t>low</t>
        </is>
      </c>
      <c r="I422" t="b">
        <v>0</v>
      </c>
      <c r="J422" t="b">
        <v>0</v>
      </c>
      <c r="K422" t="inlineStr"/>
      <c r="L422" t="inlineStr">
        <is>
          <t>27
11:35
APR 3 TUE</t>
        </is>
      </c>
      <c r="M422" t="inlineStr"/>
    </row>
    <row r="423">
      <c r="A423">
        <f>IMAGE("https://http2.mlstatic.com/D_NQ_NP_859818-MLC112219745082_062026-F.webp")</f>
        <v/>
      </c>
      <c r="B423" t="inlineStr">
        <is>
          <t>https://http2.mlstatic.com/D_NQ_NP_859818-MLC112219745082_062026-F.webp</t>
        </is>
      </c>
      <c r="C423" t="inlineStr">
        <is>
          <t>N-random</t>
        </is>
      </c>
      <c r="D423" t="b">
        <v>0</v>
      </c>
      <c r="E423" t="b">
        <v>0</v>
      </c>
      <c r="F423" t="inlineStr">
        <is>
          <t>none</t>
        </is>
      </c>
      <c r="G423" t="inlineStr"/>
      <c r="H423" t="inlineStr">
        <is>
          <t>low</t>
        </is>
      </c>
      <c r="I423" t="inlineStr"/>
      <c r="J423" t="b">
        <v>0</v>
      </c>
      <c r="K423" t="inlineStr"/>
      <c r="L423" t="inlineStr"/>
      <c r="M423" t="inlineStr"/>
    </row>
    <row r="424">
      <c r="A424">
        <f>IMAGE("https://http2.mlstatic.com/D_NQ_NP_975565-CBT112240124398_062026-F.webp")</f>
        <v/>
      </c>
      <c r="B424" t="inlineStr">
        <is>
          <t>https://http2.mlstatic.com/D_NQ_NP_975565-CBT112240124398_062026-F.webp</t>
        </is>
      </c>
      <c r="C424" t="inlineStr">
        <is>
          <t>N-random</t>
        </is>
      </c>
      <c r="D424" t="b">
        <v>0</v>
      </c>
      <c r="E424" t="b">
        <v>0</v>
      </c>
      <c r="F424" t="inlineStr">
        <is>
          <t>none</t>
        </is>
      </c>
      <c r="G424" t="inlineStr"/>
      <c r="H424" t="inlineStr">
        <is>
          <t>low</t>
        </is>
      </c>
      <c r="I424" t="inlineStr"/>
      <c r="J424" t="b">
        <v>0</v>
      </c>
      <c r="K424" t="inlineStr"/>
      <c r="L424" t="inlineStr"/>
      <c r="M424" t="inlineStr"/>
    </row>
    <row r="425">
      <c r="A425">
        <f>IMAGE("https://http2.mlstatic.com/D_NQ_NP_624446-CBT76706109297_052024-F.webp")</f>
        <v/>
      </c>
      <c r="B425" t="inlineStr">
        <is>
          <t>https://http2.mlstatic.com/D_NQ_NP_624446-CBT76706109297_052024-F.webp</t>
        </is>
      </c>
      <c r="C425" t="inlineStr">
        <is>
          <t>N-random</t>
        </is>
      </c>
      <c r="D425" t="b">
        <v>0</v>
      </c>
      <c r="E425" t="b">
        <v>0</v>
      </c>
      <c r="F425" t="inlineStr">
        <is>
          <t>none</t>
        </is>
      </c>
      <c r="G425" t="inlineStr"/>
      <c r="H425" t="inlineStr">
        <is>
          <t>low</t>
        </is>
      </c>
      <c r="I425" t="inlineStr"/>
      <c r="J425" t="b">
        <v>0</v>
      </c>
      <c r="K425" t="inlineStr"/>
      <c r="L425" t="inlineStr">
        <is>
          <t>N
CREA</t>
        </is>
      </c>
      <c r="M425" t="inlineStr"/>
    </row>
    <row r="426">
      <c r="A426">
        <f>IMAGE("https://http2.mlstatic.com/D_NQ_NP_669231-CBT113395051355_062026-F.webp")</f>
        <v/>
      </c>
      <c r="B426" t="inlineStr">
        <is>
          <t>https://http2.mlstatic.com/D_NQ_NP_669231-CBT113395051355_062026-F.webp</t>
        </is>
      </c>
      <c r="C426" t="inlineStr">
        <is>
          <t>N-random</t>
        </is>
      </c>
      <c r="D426" t="b">
        <v>0</v>
      </c>
      <c r="E426" t="b">
        <v>0</v>
      </c>
      <c r="F426" t="inlineStr">
        <is>
          <t>none</t>
        </is>
      </c>
      <c r="G426" t="inlineStr"/>
      <c r="H426" t="inlineStr">
        <is>
          <t>low</t>
        </is>
      </c>
      <c r="I426" t="inlineStr"/>
      <c r="J426" t="b">
        <v>0</v>
      </c>
      <c r="K426" t="inlineStr"/>
      <c r="L426" t="inlineStr">
        <is>
          <t>г</t>
        </is>
      </c>
      <c r="M426" t="inlineStr"/>
    </row>
    <row r="427">
      <c r="A427">
        <f>IMAGE("https://http2.mlstatic.com/D_NQ_NP_700578-CBT112419387652_062026-F.webp")</f>
        <v/>
      </c>
      <c r="B427" t="inlineStr">
        <is>
          <t>https://http2.mlstatic.com/D_NQ_NP_700578-CBT112419387652_062026-F.webp</t>
        </is>
      </c>
      <c r="C427" t="inlineStr">
        <is>
          <t>N-random</t>
        </is>
      </c>
      <c r="D427" t="b">
        <v>0</v>
      </c>
      <c r="E427" t="b">
        <v>0</v>
      </c>
      <c r="F427" t="inlineStr">
        <is>
          <t>none</t>
        </is>
      </c>
      <c r="G427" t="inlineStr"/>
      <c r="H427" t="inlineStr">
        <is>
          <t>low</t>
        </is>
      </c>
      <c r="I427" t="inlineStr"/>
      <c r="J427" t="b">
        <v>0</v>
      </c>
      <c r="K427" t="inlineStr"/>
      <c r="L427" t="inlineStr"/>
      <c r="M427" t="inlineStr"/>
    </row>
    <row r="428">
      <c r="A428">
        <f>IMAGE("https://http2.mlstatic.com/D_NQ_NP_678284-CBT112617108199_062026-F.webp")</f>
        <v/>
      </c>
      <c r="B428" t="inlineStr">
        <is>
          <t>https://http2.mlstatic.com/D_NQ_NP_678284-CBT112617108199_062026-F.webp</t>
        </is>
      </c>
      <c r="C428" t="inlineStr">
        <is>
          <t>N-random</t>
        </is>
      </c>
      <c r="D428" t="b">
        <v>0</v>
      </c>
      <c r="E428" t="b">
        <v>0</v>
      </c>
      <c r="F428" t="inlineStr">
        <is>
          <t>none</t>
        </is>
      </c>
      <c r="G428" t="inlineStr"/>
      <c r="H428" t="inlineStr">
        <is>
          <t>low</t>
        </is>
      </c>
      <c r="I428" t="inlineStr"/>
      <c r="J428" t="b">
        <v>0</v>
      </c>
      <c r="K428" t="inlineStr"/>
      <c r="L428" t="inlineStr">
        <is>
          <t>O
LANCOME</t>
        </is>
      </c>
      <c r="M428" t="inlineStr"/>
    </row>
    <row r="429">
      <c r="A429">
        <f>IMAGE("https://http2.mlstatic.com/D_NQ_NP_958161-MLM105624869160_012026-F.webp")</f>
        <v/>
      </c>
      <c r="B429" t="inlineStr">
        <is>
          <t>https://http2.mlstatic.com/D_NQ_NP_958161-MLM105624869160_012026-F.webp</t>
        </is>
      </c>
      <c r="C429" t="inlineStr">
        <is>
          <t>N-random</t>
        </is>
      </c>
      <c r="D429" t="b">
        <v>0</v>
      </c>
      <c r="E429" t="b">
        <v>1</v>
      </c>
      <c r="F429" t="inlineStr">
        <is>
          <t>badge</t>
        </is>
      </c>
      <c r="G429" t="inlineStr">
        <is>
          <t>Mas vendido</t>
        </is>
      </c>
      <c r="H429" t="inlineStr">
        <is>
          <t>high</t>
        </is>
      </c>
      <c r="I429" t="b">
        <v>0</v>
      </c>
      <c r="J429" t="b">
        <v>0</v>
      </c>
      <c r="K429" t="inlineStr"/>
      <c r="L429" t="inlineStr">
        <is>
          <t>19
7/14
Clear
Plastic Bins
om
Qurél</t>
        </is>
      </c>
      <c r="M429" t="inlineStr"/>
    </row>
    <row r="430">
      <c r="A430">
        <f>IMAGE("https://http2.mlstatic.com/D_NQ_NP_741360-MLB113618490229_062026-F.webp")</f>
        <v/>
      </c>
      <c r="B430" t="inlineStr">
        <is>
          <t>https://http2.mlstatic.com/D_NQ_NP_741360-MLB113618490229_062026-F.webp</t>
        </is>
      </c>
      <c r="C430" t="inlineStr">
        <is>
          <t>N-random</t>
        </is>
      </c>
      <c r="D430" t="b">
        <v>0</v>
      </c>
      <c r="E430" t="b">
        <v>0</v>
      </c>
      <c r="F430" t="inlineStr">
        <is>
          <t>none</t>
        </is>
      </c>
      <c r="G430" t="inlineStr"/>
      <c r="H430" t="inlineStr">
        <is>
          <t>low</t>
        </is>
      </c>
      <c r="I430" t="inlineStr"/>
      <c r="J430" t="b">
        <v>0</v>
      </c>
      <c r="K430" t="inlineStr"/>
      <c r="L430" t="inlineStr">
        <is>
          <t>PES
NIE UM HO
- MAIS QUE UM H
UMA-
ESCOL
-DE-
Estil
PESCA LIBERDADE
A MELHOR TER
É À BEIRA D'ÁG
13&amp;
DE I
GRAVAÇÃO TERA
360°
D'ÁG</t>
        </is>
      </c>
      <c r="M430" t="inlineStr"/>
    </row>
    <row r="431">
      <c r="A431">
        <f>IMAGE("https://http2.mlstatic.com/D_NQ_NP_755210-MLA110082535782_042026-F.webp")</f>
        <v/>
      </c>
      <c r="B431" t="inlineStr">
        <is>
          <t>https://http2.mlstatic.com/D_NQ_NP_755210-MLA110082535782_042026-F.webp</t>
        </is>
      </c>
      <c r="C431" t="inlineStr">
        <is>
          <t>N-random</t>
        </is>
      </c>
      <c r="D431" t="b">
        <v>0</v>
      </c>
      <c r="E431" t="b">
        <v>0</v>
      </c>
      <c r="F431" t="inlineStr">
        <is>
          <t>none</t>
        </is>
      </c>
      <c r="G431" t="inlineStr"/>
      <c r="H431" t="inlineStr">
        <is>
          <t>low</t>
        </is>
      </c>
      <c r="I431" t="inlineStr"/>
      <c r="J431" t="b">
        <v>0</v>
      </c>
      <c r="K431" t="inlineStr"/>
      <c r="L431" t="inlineStr">
        <is>
          <t>ESC
2@
3 #
4 $
5% 67&amp;
8*
9
TAB
W
E
R
T
U
CAPS
A
S
D
F
G
H
K
SHIFT
Z
C
B
N
M
CTRL
WIN
ALT
HOME
C&lt;
]&gt;
DEL
/?
SHIFT
ALT
FN
CTRL
&lt;
PGUP
PGDN</t>
        </is>
      </c>
      <c r="M431" t="inlineStr"/>
    </row>
    <row r="432">
      <c r="A432">
        <f>IMAGE("https://http2.mlstatic.com/D_NQ_NP_632153-MLB88317272231_072025-F.webp")</f>
        <v/>
      </c>
      <c r="B432" t="inlineStr">
        <is>
          <t>https://http2.mlstatic.com/D_NQ_NP_632153-MLB88317272231_072025-F.webp</t>
        </is>
      </c>
      <c r="C432" t="inlineStr">
        <is>
          <t>N-random</t>
        </is>
      </c>
      <c r="D432" t="b">
        <v>0</v>
      </c>
      <c r="E432" t="b">
        <v>0</v>
      </c>
      <c r="F432" t="inlineStr">
        <is>
          <t>none</t>
        </is>
      </c>
      <c r="G432" t="inlineStr"/>
      <c r="H432" t="inlineStr">
        <is>
          <t>low</t>
        </is>
      </c>
      <c r="I432" t="b">
        <v>0</v>
      </c>
      <c r="J432" t="b">
        <v>0</v>
      </c>
      <c r="K432" t="inlineStr"/>
      <c r="L432" t="inlineStr">
        <is>
          <t>volson
volson
volson
vols</t>
        </is>
      </c>
      <c r="M432" t="inlineStr"/>
    </row>
    <row r="433">
      <c r="A433">
        <f>IMAGE("https://http2.mlstatic.com/D_NQ_NP_795433-CBT113439715607_062026-F.webp")</f>
        <v/>
      </c>
      <c r="B433" t="inlineStr">
        <is>
          <t>https://http2.mlstatic.com/D_NQ_NP_795433-CBT113439715607_062026-F.webp</t>
        </is>
      </c>
      <c r="C433" t="inlineStr">
        <is>
          <t>N-random</t>
        </is>
      </c>
      <c r="D433" t="b">
        <v>0</v>
      </c>
      <c r="E433" t="b">
        <v>0</v>
      </c>
      <c r="F433" t="inlineStr">
        <is>
          <t>none</t>
        </is>
      </c>
      <c r="G433" t="inlineStr"/>
      <c r="H433" t="inlineStr">
        <is>
          <t>low</t>
        </is>
      </c>
      <c r="I433" t="inlineStr"/>
      <c r="J433" t="b">
        <v>0</v>
      </c>
      <c r="K433" t="inlineStr"/>
      <c r="L433" t="inlineStr">
        <is>
          <t>ال 37
ست
2</t>
        </is>
      </c>
      <c r="M433" t="inlineStr"/>
    </row>
    <row r="434">
      <c r="A434">
        <f>IMAGE("https://http2.mlstatic.com/D_NQ_NP_763524-CBT82437307981_022025-F.webp")</f>
        <v/>
      </c>
      <c r="B434" t="inlineStr">
        <is>
          <t>https://http2.mlstatic.com/D_NQ_NP_763524-CBT82437307981_022025-F.webp</t>
        </is>
      </c>
      <c r="C434" t="inlineStr">
        <is>
          <t>N-random</t>
        </is>
      </c>
      <c r="D434" t="b">
        <v>0</v>
      </c>
      <c r="E434" t="b">
        <v>0</v>
      </c>
      <c r="F434" t="inlineStr">
        <is>
          <t>none</t>
        </is>
      </c>
      <c r="G434" t="inlineStr"/>
      <c r="H434" t="inlineStr">
        <is>
          <t>low</t>
        </is>
      </c>
      <c r="I434" t="inlineStr"/>
      <c r="J434" t="b">
        <v>0</v>
      </c>
      <c r="K434" t="inlineStr"/>
      <c r="L434" t="inlineStr"/>
      <c r="M434" t="inlineStr"/>
    </row>
    <row r="435">
      <c r="A435">
        <f>IMAGE("https://http2.mlstatic.com/D_NQ_NP_612333-CBT112481755644_062026-F.webp")</f>
        <v/>
      </c>
      <c r="B435" t="inlineStr">
        <is>
          <t>https://http2.mlstatic.com/D_NQ_NP_612333-CBT112481755644_062026-F.webp</t>
        </is>
      </c>
      <c r="C435" t="inlineStr">
        <is>
          <t>N-random</t>
        </is>
      </c>
      <c r="D435" t="b">
        <v>0</v>
      </c>
      <c r="E435" t="b">
        <v>0</v>
      </c>
      <c r="F435" t="inlineStr">
        <is>
          <t>none</t>
        </is>
      </c>
      <c r="G435" t="inlineStr"/>
      <c r="H435" t="inlineStr">
        <is>
          <t>low</t>
        </is>
      </c>
      <c r="I435" t="inlineStr"/>
      <c r="J435" t="b">
        <v>0</v>
      </c>
      <c r="K435" t="inlineStr"/>
      <c r="L435" t="inlineStr">
        <is>
          <t>5</t>
        </is>
      </c>
      <c r="M435" t="inlineStr"/>
    </row>
    <row r="436">
      <c r="A436">
        <f>IMAGE("https://http2.mlstatic.com/D_NQ_NP_691191-MLB113358189681_062026-F.webp")</f>
        <v/>
      </c>
      <c r="B436" t="inlineStr">
        <is>
          <t>https://http2.mlstatic.com/D_NQ_NP_691191-MLB113358189681_062026-F.webp</t>
        </is>
      </c>
      <c r="C436" t="inlineStr">
        <is>
          <t>N-random</t>
        </is>
      </c>
      <c r="D436" t="b">
        <v>0</v>
      </c>
      <c r="E436" t="b">
        <v>0</v>
      </c>
      <c r="F436" t="inlineStr">
        <is>
          <t>none</t>
        </is>
      </c>
      <c r="G436" t="inlineStr"/>
      <c r="H436" t="inlineStr">
        <is>
          <t>low</t>
        </is>
      </c>
      <c r="I436" t="inlineStr"/>
      <c r="J436" t="b">
        <v>0</v>
      </c>
      <c r="K436" t="inlineStr"/>
      <c r="L436" t="inlineStr"/>
      <c r="M436" t="inlineStr"/>
    </row>
    <row r="437">
      <c r="A437">
        <f>IMAGE("https://http2.mlstatic.com/D_NQ_NP_986780-CBT112234170050_062026-F.webp")</f>
        <v/>
      </c>
      <c r="B437" t="inlineStr">
        <is>
          <t>https://http2.mlstatic.com/D_NQ_NP_986780-CBT112234170050_062026-F.webp</t>
        </is>
      </c>
      <c r="C437" t="inlineStr">
        <is>
          <t>N-random</t>
        </is>
      </c>
      <c r="D437" t="b">
        <v>0</v>
      </c>
      <c r="E437" t="b">
        <v>1</v>
      </c>
      <c r="F437" t="inlineStr">
        <is>
          <t>badge</t>
        </is>
      </c>
      <c r="G437" t="inlineStr">
        <is>
          <t>text overlay indicating sizes: '38/36/38/40/45/50inch'</t>
        </is>
      </c>
      <c r="H437" t="inlineStr">
        <is>
          <t>medium</t>
        </is>
      </c>
      <c r="I437" t="b">
        <v>0</v>
      </c>
      <c r="J437" t="b">
        <v>0</v>
      </c>
      <c r="K437" t="inlineStr"/>
      <c r="L437" t="inlineStr">
        <is>
          <t>38/36/38/40/45/50inch</t>
        </is>
      </c>
      <c r="M437" t="inlineStr"/>
    </row>
    <row r="438">
      <c r="A438">
        <f>IMAGE("https://http2.mlstatic.com/D_NQ_NP_889687-CBT112448004266_062026-F.webp")</f>
        <v/>
      </c>
      <c r="B438" t="inlineStr">
        <is>
          <t>https://http2.mlstatic.com/D_NQ_NP_889687-CBT112448004266_062026-F.webp</t>
        </is>
      </c>
      <c r="C438" t="inlineStr">
        <is>
          <t>N-random</t>
        </is>
      </c>
      <c r="D438" t="b">
        <v>0</v>
      </c>
      <c r="E438" t="b">
        <v>0</v>
      </c>
      <c r="F438" t="inlineStr">
        <is>
          <t>none</t>
        </is>
      </c>
      <c r="G438" t="inlineStr"/>
      <c r="H438" t="inlineStr">
        <is>
          <t>low</t>
        </is>
      </c>
      <c r="I438" t="inlineStr"/>
      <c r="J438" t="b">
        <v>0</v>
      </c>
      <c r="K438" t="inlineStr"/>
      <c r="L438" t="inlineStr"/>
      <c r="M438" t="inlineStr"/>
    </row>
    <row r="439">
      <c r="A439">
        <f>IMAGE("https://http2.mlstatic.com/D_NQ_NP_630449-CBT108828340532_032026-F.webp")</f>
        <v/>
      </c>
      <c r="B439" t="inlineStr">
        <is>
          <t>https://http2.mlstatic.com/D_NQ_NP_630449-CBT108828340532_032026-F.webp</t>
        </is>
      </c>
      <c r="C439" t="inlineStr">
        <is>
          <t>N-random</t>
        </is>
      </c>
      <c r="D439" t="b">
        <v>0</v>
      </c>
      <c r="E439" t="b">
        <v>0</v>
      </c>
      <c r="F439" t="inlineStr">
        <is>
          <t>none</t>
        </is>
      </c>
      <c r="G439" t="inlineStr"/>
      <c r="H439" t="inlineStr">
        <is>
          <t>low</t>
        </is>
      </c>
      <c r="I439" t="inlineStr"/>
      <c r="J439" t="b">
        <v>0</v>
      </c>
      <c r="K439" t="inlineStr"/>
      <c r="L439" t="inlineStr">
        <is>
          <t>Quality
KATH
makes t
the futre</t>
        </is>
      </c>
      <c r="M439" t="inlineStr"/>
    </row>
    <row r="440">
      <c r="A440">
        <f>IMAGE("https://http2.mlstatic.com/D_NQ_NP_779346-CBT113246118281_062026-F.webp")</f>
        <v/>
      </c>
      <c r="B440" t="inlineStr">
        <is>
          <t>https://http2.mlstatic.com/D_NQ_NP_779346-CBT113246118281_062026-F.webp</t>
        </is>
      </c>
      <c r="C440" t="inlineStr">
        <is>
          <t>N-random</t>
        </is>
      </c>
      <c r="D440" t="b">
        <v>0</v>
      </c>
      <c r="E440" t="b">
        <v>0</v>
      </c>
      <c r="F440" t="inlineStr">
        <is>
          <t>none</t>
        </is>
      </c>
      <c r="G440" t="inlineStr"/>
      <c r="H440" t="inlineStr">
        <is>
          <t>low</t>
        </is>
      </c>
      <c r="I440" t="inlineStr"/>
      <c r="J440" t="b">
        <v>0</v>
      </c>
      <c r="K440" t="inlineStr"/>
      <c r="L440" t="inlineStr">
        <is>
          <t>7775
CRISPL
CRISPI
®</t>
        </is>
      </c>
      <c r="M440" t="inlineStr"/>
    </row>
    <row r="441">
      <c r="A441">
        <f>IMAGE("https://http2.mlstatic.com/D_NQ_NP_844747-MLA110623769465_042026-F.webp")</f>
        <v/>
      </c>
      <c r="B441" t="inlineStr">
        <is>
          <t>https://http2.mlstatic.com/D_NQ_NP_844747-MLA110623769465_042026-F.webp</t>
        </is>
      </c>
      <c r="C441" t="inlineStr">
        <is>
          <t>N-random</t>
        </is>
      </c>
      <c r="D441" t="b">
        <v>0</v>
      </c>
      <c r="E441" t="b">
        <v>1</v>
      </c>
      <c r="F441" t="inlineStr">
        <is>
          <t>badge</t>
        </is>
      </c>
      <c r="G441" t="inlineStr">
        <is>
          <t>un sello que imita una etiqueta oficial de MercadoLibre</t>
        </is>
      </c>
      <c r="H441" t="inlineStr">
        <is>
          <t>medium</t>
        </is>
      </c>
      <c r="I441" t="b">
        <v>0</v>
      </c>
      <c r="J441" t="b">
        <v>0</v>
      </c>
      <c r="K441" t="inlineStr"/>
      <c r="L441" t="inlineStr">
        <is>
          <t>x20</t>
        </is>
      </c>
      <c r="M441" t="inlineStr"/>
    </row>
    <row r="442">
      <c r="A442">
        <f>IMAGE("https://http2.mlstatic.com/D_NQ_NP_903546-MCO112206997387_052026-F.webp")</f>
        <v/>
      </c>
      <c r="B442" t="inlineStr">
        <is>
          <t>https://http2.mlstatic.com/D_NQ_NP_903546-MCO112206997387_052026-F.webp</t>
        </is>
      </c>
      <c r="C442" t="inlineStr">
        <is>
          <t>N-random</t>
        </is>
      </c>
      <c r="D442" t="b">
        <v>0</v>
      </c>
      <c r="E442" t="b">
        <v>0</v>
      </c>
      <c r="F442" t="inlineStr">
        <is>
          <t>none</t>
        </is>
      </c>
      <c r="G442" t="inlineStr"/>
      <c r="H442" t="inlineStr">
        <is>
          <t>low</t>
        </is>
      </c>
      <c r="I442" t="inlineStr"/>
      <c r="J442" t="b">
        <v>0</v>
      </c>
      <c r="K442" t="inlineStr"/>
      <c r="L442" t="inlineStr">
        <is>
          <t>Lenovo
AC ADAPTER ADAPTADOR CA
(03/20) 4520
30
roc
UL
ULL-103565-FA
Energy
SAFETY Verified
MARK
241011-11
10 CCC VI
EAC CEUKA
OOSSA11029109C1TJ
53V0E70
REV:000
MFG DATE:2025/03
IS 13252 (Part 1y
IEC 60950-1
8
R-41013218 NOM
www.bis.gov.in
K
SECO
LISTED OK
回</t>
        </is>
      </c>
      <c r="M442" t="inlineStr"/>
    </row>
    <row r="443">
      <c r="A443">
        <f>IMAGE("https://http2.mlstatic.com/D_NQ_NP_671647-CBT113346475051_062026-F.webp")</f>
        <v/>
      </c>
      <c r="B443" t="inlineStr">
        <is>
          <t>https://http2.mlstatic.com/D_NQ_NP_671647-CBT113346475051_062026-F.webp</t>
        </is>
      </c>
      <c r="C443" t="inlineStr">
        <is>
          <t>N-random</t>
        </is>
      </c>
      <c r="D443" t="b">
        <v>0</v>
      </c>
      <c r="E443" t="b">
        <v>0</v>
      </c>
      <c r="F443" t="inlineStr">
        <is>
          <t>none</t>
        </is>
      </c>
      <c r="G443" t="inlineStr"/>
      <c r="H443" t="inlineStr">
        <is>
          <t>low</t>
        </is>
      </c>
      <c r="I443" t="inlineStr"/>
      <c r="J443" t="b">
        <v>0</v>
      </c>
      <c r="K443" t="inlineStr"/>
      <c r="L443" t="inlineStr">
        <is>
          <t>2PCS</t>
        </is>
      </c>
      <c r="M443" t="inlineStr"/>
    </row>
    <row r="444">
      <c r="A444">
        <f>IMAGE("https://http2.mlstatic.com/D_NQ_NP_636001-CBT110789857669_042026-F.webp")</f>
        <v/>
      </c>
      <c r="B444" t="inlineStr">
        <is>
          <t>https://http2.mlstatic.com/D_NQ_NP_636001-CBT110789857669_042026-F.webp</t>
        </is>
      </c>
      <c r="C444" t="inlineStr">
        <is>
          <t>N-random</t>
        </is>
      </c>
      <c r="D444" t="b">
        <v>0</v>
      </c>
      <c r="E444" t="b">
        <v>0</v>
      </c>
      <c r="F444" t="inlineStr">
        <is>
          <t>none</t>
        </is>
      </c>
      <c r="G444" t="inlineStr"/>
      <c r="H444" t="inlineStr">
        <is>
          <t>low</t>
        </is>
      </c>
      <c r="I444" t="inlineStr"/>
      <c r="J444" t="b">
        <v>0</v>
      </c>
      <c r="K444" t="inlineStr"/>
      <c r="L444" t="inlineStr"/>
      <c r="M444" t="inlineStr"/>
    </row>
    <row r="445">
      <c r="A445">
        <f>IMAGE("https://http2.mlstatic.com/D_NQ_NP_858772-CBT83273358693_032025-F.webp")</f>
        <v/>
      </c>
      <c r="B445" t="inlineStr">
        <is>
          <t>https://http2.mlstatic.com/D_NQ_NP_858772-CBT83273358693_032025-F.webp</t>
        </is>
      </c>
      <c r="C445" t="inlineStr">
        <is>
          <t>N-random</t>
        </is>
      </c>
      <c r="D445" t="b">
        <v>0</v>
      </c>
      <c r="E445" t="b">
        <v>0</v>
      </c>
      <c r="F445" t="inlineStr">
        <is>
          <t>none</t>
        </is>
      </c>
      <c r="G445" t="inlineStr"/>
      <c r="H445" t="inlineStr">
        <is>
          <t>low</t>
        </is>
      </c>
      <c r="I445" t="inlineStr"/>
      <c r="J445" t="b">
        <v>0</v>
      </c>
      <c r="K445" t="inlineStr"/>
      <c r="L445" t="inlineStr">
        <is>
          <t>TFT color monitor
MAN
CARGO CAMES
Jansite
Sicii</t>
        </is>
      </c>
      <c r="M445" t="inlineStr"/>
    </row>
    <row r="446">
      <c r="A446">
        <f>IMAGE("https://http2.mlstatic.com/D_NQ_NP_953240-MLM98798157727_112025-F.webp")</f>
        <v/>
      </c>
      <c r="B446" t="inlineStr">
        <is>
          <t>https://http2.mlstatic.com/D_NQ_NP_953240-MLM98798157727_112025-F.webp</t>
        </is>
      </c>
      <c r="C446" t="inlineStr">
        <is>
          <t>N-random</t>
        </is>
      </c>
      <c r="D446" t="b">
        <v>0</v>
      </c>
      <c r="E446" t="b">
        <v>0</v>
      </c>
      <c r="F446" t="inlineStr">
        <is>
          <t>none</t>
        </is>
      </c>
      <c r="G446" t="inlineStr"/>
      <c r="H446" t="inlineStr">
        <is>
          <t>low</t>
        </is>
      </c>
      <c r="I446" t="inlineStr"/>
      <c r="J446" t="b">
        <v>0</v>
      </c>
      <c r="K446" t="inlineStr"/>
      <c r="L446" t="inlineStr"/>
      <c r="M446" t="inlineStr"/>
    </row>
    <row r="447">
      <c r="A447">
        <f>IMAGE("https://http2.mlstatic.com/D_NQ_NP_659743-MLA100364758681_122025-F.webp")</f>
        <v/>
      </c>
      <c r="B447" t="inlineStr">
        <is>
          <t>https://http2.mlstatic.com/D_NQ_NP_659743-MLA100364758681_122025-F.webp</t>
        </is>
      </c>
      <c r="C447" t="inlineStr">
        <is>
          <t>N-random</t>
        </is>
      </c>
      <c r="D447" t="b">
        <v>0</v>
      </c>
      <c r="E447" t="b">
        <v>0</v>
      </c>
      <c r="F447" t="inlineStr">
        <is>
          <t>none</t>
        </is>
      </c>
      <c r="G447" t="inlineStr"/>
      <c r="H447" t="inlineStr">
        <is>
          <t>low</t>
        </is>
      </c>
      <c r="I447" t="inlineStr"/>
      <c r="J447" t="b">
        <v>0</v>
      </c>
      <c r="K447" t="inlineStr"/>
      <c r="L447" t="inlineStr"/>
      <c r="M447" t="inlineStr"/>
    </row>
    <row r="448">
      <c r="A448">
        <f>IMAGE("https://http2.mlstatic.com/D_NQ_NP_842014-CBT113654828259_062026-F.webp")</f>
        <v/>
      </c>
      <c r="B448" t="inlineStr">
        <is>
          <t>https://http2.mlstatic.com/D_NQ_NP_842014-CBT113654828259_062026-F.webp</t>
        </is>
      </c>
      <c r="C448" t="inlineStr">
        <is>
          <t>N-random</t>
        </is>
      </c>
      <c r="D448" t="b">
        <v>0</v>
      </c>
      <c r="E448" t="b">
        <v>1</v>
      </c>
      <c r="F448" t="inlineStr">
        <is>
          <t>badge</t>
        </is>
      </c>
      <c r="G448" t="inlineStr">
        <is>
          <t>text overlay</t>
        </is>
      </c>
      <c r="H448" t="inlineStr">
        <is>
          <t>medium</t>
        </is>
      </c>
      <c r="I448" t="b">
        <v>0</v>
      </c>
      <c r="J448" t="b">
        <v>0</v>
      </c>
      <c r="K448" t="inlineStr"/>
      <c r="L448" t="inlineStr">
        <is>
          <t>CERTIFIED
WOMEN
Avoider</t>
        </is>
      </c>
      <c r="M448" t="inlineStr"/>
    </row>
    <row r="449">
      <c r="A449">
        <f>IMAGE("https://http2.mlstatic.com/D_NQ_NP_904424-CBT104924740051_012026-F.webp")</f>
        <v/>
      </c>
      <c r="B449" t="inlineStr">
        <is>
          <t>https://http2.mlstatic.com/D_NQ_NP_904424-CBT104924740051_012026-F.webp</t>
        </is>
      </c>
      <c r="C449" t="inlineStr">
        <is>
          <t>N-random</t>
        </is>
      </c>
      <c r="D449" t="b">
        <v>0</v>
      </c>
      <c r="E449" t="b">
        <v>0</v>
      </c>
      <c r="F449" t="inlineStr">
        <is>
          <t>none</t>
        </is>
      </c>
      <c r="G449" t="inlineStr"/>
      <c r="H449" t="inlineStr">
        <is>
          <t>low</t>
        </is>
      </c>
      <c r="I449" t="inlineStr"/>
      <c r="J449" t="b">
        <v>0</v>
      </c>
      <c r="K449" t="inlineStr"/>
      <c r="L449" t="inlineStr">
        <is>
          <t>EXP</t>
        </is>
      </c>
      <c r="M449" t="inlineStr"/>
    </row>
    <row r="450">
      <c r="A450">
        <f>IMAGE("https://http2.mlstatic.com/D_NQ_NP_671694-CBT113489109277_062026-F.webp")</f>
        <v/>
      </c>
      <c r="B450" t="inlineStr">
        <is>
          <t>https://http2.mlstatic.com/D_NQ_NP_671694-CBT113489109277_062026-F.webp</t>
        </is>
      </c>
      <c r="C450" t="inlineStr">
        <is>
          <t>N-random</t>
        </is>
      </c>
      <c r="D450" t="b">
        <v>0</v>
      </c>
      <c r="E450" t="b">
        <v>0</v>
      </c>
      <c r="F450" t="inlineStr">
        <is>
          <t>none</t>
        </is>
      </c>
      <c r="G450" t="inlineStr"/>
      <c r="H450" t="inlineStr">
        <is>
          <t>low</t>
        </is>
      </c>
      <c r="I450" t="inlineStr"/>
      <c r="J450" t="b">
        <v>0</v>
      </c>
      <c r="K450" t="inlineStr"/>
      <c r="L450" t="inlineStr"/>
      <c r="M450" t="inlineStr"/>
    </row>
    <row r="451">
      <c r="A451">
        <f>IMAGE("https://http2.mlstatic.com/D_NQ_NP_766434-MLB113496218271_062026-F.webp")</f>
        <v/>
      </c>
      <c r="B451" t="inlineStr">
        <is>
          <t>https://http2.mlstatic.com/D_NQ_NP_766434-MLB113496218271_062026-F.webp</t>
        </is>
      </c>
      <c r="C451" t="inlineStr">
        <is>
          <t>N-random</t>
        </is>
      </c>
      <c r="D451" t="b">
        <v>0</v>
      </c>
      <c r="E451" t="b">
        <v>0</v>
      </c>
      <c r="F451" t="inlineStr">
        <is>
          <t>none</t>
        </is>
      </c>
      <c r="G451" t="inlineStr"/>
      <c r="H451" t="inlineStr">
        <is>
          <t>low</t>
        </is>
      </c>
      <c r="I451" t="inlineStr"/>
      <c r="J451" t="b">
        <v>0</v>
      </c>
      <c r="K451" t="inlineStr"/>
      <c r="L451" t="inlineStr"/>
      <c r="M451" t="inlineStr"/>
    </row>
    <row r="452">
      <c r="A452">
        <f>IMAGE("https://http2.mlstatic.com/D_NQ_NP_945733-CBT97845214006_112025-F.webp")</f>
        <v/>
      </c>
      <c r="B452" t="inlineStr">
        <is>
          <t>https://http2.mlstatic.com/D_NQ_NP_945733-CBT97845214006_112025-F.webp</t>
        </is>
      </c>
      <c r="C452" t="inlineStr">
        <is>
          <t>N-random</t>
        </is>
      </c>
      <c r="D452" t="b">
        <v>0</v>
      </c>
      <c r="E452" t="b">
        <v>0</v>
      </c>
      <c r="F452" t="inlineStr">
        <is>
          <t>none</t>
        </is>
      </c>
      <c r="G452" t="inlineStr"/>
      <c r="H452" t="inlineStr">
        <is>
          <t>low</t>
        </is>
      </c>
      <c r="I452" t="inlineStr"/>
      <c r="J452" t="b">
        <v>0</v>
      </c>
      <c r="K452" t="inlineStr"/>
      <c r="L452" t="inlineStr"/>
      <c r="M452" t="inlineStr"/>
    </row>
    <row r="453">
      <c r="A453">
        <f>IMAGE("https://http2.mlstatic.com/D_NQ_NP_986052-MLB113578312131_062026-F.webp")</f>
        <v/>
      </c>
      <c r="B453" t="inlineStr">
        <is>
          <t>https://http2.mlstatic.com/D_NQ_NP_986052-MLB113578312131_062026-F.webp</t>
        </is>
      </c>
      <c r="C453" t="inlineStr">
        <is>
          <t>N-random</t>
        </is>
      </c>
      <c r="D453" t="b">
        <v>0</v>
      </c>
      <c r="E453" t="b">
        <v>0</v>
      </c>
      <c r="F453" t="inlineStr">
        <is>
          <t>none</t>
        </is>
      </c>
      <c r="G453" t="inlineStr"/>
      <c r="H453" t="inlineStr">
        <is>
          <t>low</t>
        </is>
      </c>
      <c r="I453" t="inlineStr"/>
      <c r="J453" t="b">
        <v>0</v>
      </c>
      <c r="K453" t="inlineStr"/>
      <c r="L453" t="inlineStr">
        <is>
          <t>JEITO MAIS
O CARRO
SEMINOVO
Loca
A MAIOR VARIEDADA
DE CORES, MARCA
E MODELOS DO BRASI
al.com</t>
        </is>
      </c>
      <c r="M453" t="inlineStr"/>
    </row>
    <row r="454">
      <c r="A454">
        <f>IMAGE("https://http2.mlstatic.com/D_NQ_NP_766202-CBT82232243417_022025-F.webp")</f>
        <v/>
      </c>
      <c r="B454" t="inlineStr">
        <is>
          <t>https://http2.mlstatic.com/D_NQ_NP_766202-CBT82232243417_022025-F.webp</t>
        </is>
      </c>
      <c r="C454" t="inlineStr">
        <is>
          <t>N-random</t>
        </is>
      </c>
      <c r="D454" t="b">
        <v>0</v>
      </c>
      <c r="E454" t="b">
        <v>0</v>
      </c>
      <c r="F454" t="inlineStr">
        <is>
          <t>none</t>
        </is>
      </c>
      <c r="G454" t="inlineStr"/>
      <c r="H454" t="inlineStr">
        <is>
          <t>low</t>
        </is>
      </c>
      <c r="I454" t="inlineStr"/>
      <c r="J454" t="b">
        <v>0</v>
      </c>
      <c r="K454" t="inlineStr"/>
      <c r="L454" t="inlineStr">
        <is>
          <t>UBERS
U</t>
        </is>
      </c>
      <c r="M454" t="inlineStr"/>
    </row>
    <row r="455">
      <c r="A455">
        <f>IMAGE("https://http2.mlstatic.com/D_NQ_NP_825199-MLM105188194472_012026-F.webp")</f>
        <v/>
      </c>
      <c r="B455" t="inlineStr">
        <is>
          <t>https://http2.mlstatic.com/D_NQ_NP_825199-MLM105188194472_012026-F.webp</t>
        </is>
      </c>
      <c r="C455" t="inlineStr">
        <is>
          <t>N-random</t>
        </is>
      </c>
      <c r="D455" t="b">
        <v>0</v>
      </c>
      <c r="E455" t="b">
        <v>0</v>
      </c>
      <c r="F455" t="inlineStr">
        <is>
          <t>none</t>
        </is>
      </c>
      <c r="G455" t="inlineStr"/>
      <c r="H455" t="inlineStr">
        <is>
          <t>low</t>
        </is>
      </c>
      <c r="I455" t="inlineStr"/>
      <c r="J455" t="b">
        <v>0</v>
      </c>
      <c r="K455" t="inlineStr"/>
      <c r="L455" t="inlineStr">
        <is>
          <t>Lovevock</t>
        </is>
      </c>
      <c r="M455" t="inlineStr"/>
    </row>
    <row r="456">
      <c r="A456">
        <f>IMAGE("https://http2.mlstatic.com/D_NQ_NP_711877-CBT93552141629_092025-F.webp")</f>
        <v/>
      </c>
      <c r="B456" t="inlineStr">
        <is>
          <t>https://http2.mlstatic.com/D_NQ_NP_711877-CBT93552141629_092025-F.webp</t>
        </is>
      </c>
      <c r="C456" t="inlineStr">
        <is>
          <t>N-random</t>
        </is>
      </c>
      <c r="D456" t="b">
        <v>0</v>
      </c>
      <c r="E456" t="b">
        <v>0</v>
      </c>
      <c r="F456" t="inlineStr">
        <is>
          <t>none</t>
        </is>
      </c>
      <c r="G456" t="inlineStr"/>
      <c r="H456" t="inlineStr">
        <is>
          <t>low</t>
        </is>
      </c>
      <c r="I456" t="inlineStr"/>
      <c r="J456" t="b">
        <v>0</v>
      </c>
      <c r="K456" t="inlineStr"/>
      <c r="L456" t="inlineStr"/>
      <c r="M456" t="inlineStr"/>
    </row>
    <row r="457">
      <c r="A457">
        <f>IMAGE("https://http2.mlstatic.com/D_NQ_NP_765802-MLA113458824415_062026-F.webp")</f>
        <v/>
      </c>
      <c r="B457" t="inlineStr">
        <is>
          <t>https://http2.mlstatic.com/D_NQ_NP_765802-MLA113458824415_062026-F.webp</t>
        </is>
      </c>
      <c r="C457" t="inlineStr">
        <is>
          <t>N-random</t>
        </is>
      </c>
      <c r="D457" t="b">
        <v>0</v>
      </c>
      <c r="E457" t="b">
        <v>0</v>
      </c>
      <c r="F457" t="inlineStr">
        <is>
          <t>none</t>
        </is>
      </c>
      <c r="G457" t="inlineStr"/>
      <c r="H457" t="inlineStr">
        <is>
          <t>low</t>
        </is>
      </c>
      <c r="I457" t="inlineStr"/>
      <c r="J457" t="b">
        <v>0</v>
      </c>
      <c r="K457" t="inlineStr"/>
      <c r="L457" t="inlineStr"/>
      <c r="M457" t="inlineStr"/>
    </row>
    <row r="458">
      <c r="A458">
        <f>IMAGE("https://http2.mlstatic.com/D_NQ_NP_731814-CBT112182975952_062026-F.webp")</f>
        <v/>
      </c>
      <c r="B458" t="inlineStr">
        <is>
          <t>https://http2.mlstatic.com/D_NQ_NP_731814-CBT112182975952_062026-F.webp</t>
        </is>
      </c>
      <c r="C458" t="inlineStr">
        <is>
          <t>N-random</t>
        </is>
      </c>
      <c r="D458" t="b">
        <v>0</v>
      </c>
      <c r="E458" t="b">
        <v>1</v>
      </c>
      <c r="F458" t="inlineStr">
        <is>
          <t>badge</t>
        </is>
      </c>
      <c r="G458" t="inlineStr">
        <is>
          <t>un sello que imita una etiqueta oficial de MercadoLibre</t>
        </is>
      </c>
      <c r="H458" t="inlineStr">
        <is>
          <t>medium</t>
        </is>
      </c>
      <c r="I458" t="b">
        <v>0</v>
      </c>
      <c r="J458" t="b">
        <v>0</v>
      </c>
      <c r="K458" t="inlineStr"/>
      <c r="L458" t="inlineStr">
        <is>
          <t>Nathaniel
HAWTHORNE
-The-
Scarlet
LETTER</t>
        </is>
      </c>
      <c r="M458" t="inlineStr"/>
    </row>
    <row r="459">
      <c r="A459">
        <f>IMAGE("https://http2.mlstatic.com/D_NQ_NP_808115-MCO112373622358_062026-F.webp")</f>
        <v/>
      </c>
      <c r="B459" t="inlineStr">
        <is>
          <t>https://http2.mlstatic.com/D_NQ_NP_808115-MCO112373622358_062026-F.webp</t>
        </is>
      </c>
      <c r="C459" t="inlineStr">
        <is>
          <t>N-random</t>
        </is>
      </c>
      <c r="D459" t="b">
        <v>0</v>
      </c>
      <c r="E459" t="b">
        <v>0</v>
      </c>
      <c r="F459" t="inlineStr">
        <is>
          <t>none</t>
        </is>
      </c>
      <c r="G459" t="inlineStr"/>
      <c r="H459" t="inlineStr">
        <is>
          <t>low</t>
        </is>
      </c>
      <c r="I459" t="inlineStr"/>
      <c r="J459" t="b">
        <v>0</v>
      </c>
      <c r="K459" t="inlineStr"/>
      <c r="L459" t="inlineStr">
        <is>
          <t>FIDETFIG
THE LOWRYDAIE
COOL CG LOK
LAMMESIM
BOA GORES
Cheljat</t>
        </is>
      </c>
      <c r="M459" t="inlineStr"/>
    </row>
    <row r="460">
      <c r="A460">
        <f>IMAGE("https://http2.mlstatic.com/D_NQ_NP_635243-CBT113618585425_062026-F.webp")</f>
        <v/>
      </c>
      <c r="B460" t="inlineStr">
        <is>
          <t>https://http2.mlstatic.com/D_NQ_NP_635243-CBT113618585425_062026-F.webp</t>
        </is>
      </c>
      <c r="C460" t="inlineStr">
        <is>
          <t>N-random</t>
        </is>
      </c>
      <c r="D460" t="b">
        <v>0</v>
      </c>
      <c r="E460" t="b">
        <v>0</v>
      </c>
      <c r="F460" t="inlineStr">
        <is>
          <t>none</t>
        </is>
      </c>
      <c r="G460" t="inlineStr"/>
      <c r="H460" t="inlineStr">
        <is>
          <t>low</t>
        </is>
      </c>
      <c r="I460" t="inlineStr"/>
      <c r="J460" t="b">
        <v>0</v>
      </c>
      <c r="K460" t="inlineStr"/>
      <c r="L460" t="inlineStr"/>
      <c r="M460" t="inlineStr"/>
    </row>
    <row r="461">
      <c r="A461">
        <f>IMAGE("https://http2.mlstatic.com/D_NQ_NP_755410-CBT106716475762_022026-F.webp")</f>
        <v/>
      </c>
      <c r="B461" t="inlineStr">
        <is>
          <t>https://http2.mlstatic.com/D_NQ_NP_755410-CBT106716475762_022026-F.webp</t>
        </is>
      </c>
      <c r="C461" t="inlineStr">
        <is>
          <t>N-random</t>
        </is>
      </c>
      <c r="D461" t="b">
        <v>0</v>
      </c>
      <c r="E461" t="b">
        <v>0</v>
      </c>
      <c r="F461" t="inlineStr">
        <is>
          <t>none</t>
        </is>
      </c>
      <c r="G461" t="inlineStr"/>
      <c r="H461" t="inlineStr">
        <is>
          <t>low</t>
        </is>
      </c>
      <c r="I461" t="inlineStr"/>
      <c r="J461" t="b">
        <v>0</v>
      </c>
      <c r="K461" t="inlineStr"/>
      <c r="L461" t="inlineStr">
        <is>
          <t>FBY11H0
HOO 2916
FBY11HO
HOO 2916
FBY11HO
HOO
FBY11HO
HOO 2916</t>
        </is>
      </c>
      <c r="M461" t="inlineStr"/>
    </row>
    <row r="462">
      <c r="A462">
        <f>IMAGE("https://http2.mlstatic.com/D_NQ_NP_887157-CBT83620661954_042025-F.webp")</f>
        <v/>
      </c>
      <c r="B462" t="inlineStr">
        <is>
          <t>https://http2.mlstatic.com/D_NQ_NP_887157-CBT83620661954_042025-F.webp</t>
        </is>
      </c>
      <c r="C462" t="inlineStr">
        <is>
          <t>N-random</t>
        </is>
      </c>
      <c r="D462" t="b">
        <v>0</v>
      </c>
      <c r="E462" t="b">
        <v>0</v>
      </c>
      <c r="F462" t="inlineStr">
        <is>
          <t>none</t>
        </is>
      </c>
      <c r="G462" t="inlineStr"/>
      <c r="H462" t="inlineStr">
        <is>
          <t>low</t>
        </is>
      </c>
      <c r="I462" t="inlineStr"/>
      <c r="J462" t="b">
        <v>0</v>
      </c>
      <c r="K462" t="inlineStr"/>
      <c r="L462" t="inlineStr">
        <is>
          <t>NISSAN
SRS
AIRBAG</t>
        </is>
      </c>
      <c r="M462" t="inlineStr"/>
    </row>
    <row r="463">
      <c r="A463">
        <f>IMAGE("https://http2.mlstatic.com/D_NQ_NP_708510-CBT108709225399_032026-F.webp")</f>
        <v/>
      </c>
      <c r="B463" t="inlineStr">
        <is>
          <t>https://http2.mlstatic.com/D_NQ_NP_708510-CBT108709225399_032026-F.webp</t>
        </is>
      </c>
      <c r="C463" t="inlineStr">
        <is>
          <t>N-random</t>
        </is>
      </c>
      <c r="D463" t="b">
        <v>0</v>
      </c>
      <c r="E463" t="b">
        <v>0</v>
      </c>
      <c r="F463" t="inlineStr">
        <is>
          <t>none</t>
        </is>
      </c>
      <c r="G463" t="inlineStr"/>
      <c r="H463" t="inlineStr">
        <is>
          <t>low</t>
        </is>
      </c>
      <c r="I463" t="inlineStr"/>
      <c r="J463" t="b">
        <v>0</v>
      </c>
      <c r="K463" t="inlineStr"/>
      <c r="L463" t="inlineStr"/>
      <c r="M463" t="inlineStr"/>
    </row>
    <row r="464">
      <c r="A464">
        <f>IMAGE("https://http2.mlstatic.com/D_NQ_NP_834304-CBT110158982163_042026-F.webp")</f>
        <v/>
      </c>
      <c r="B464" t="inlineStr">
        <is>
          <t>https://http2.mlstatic.com/D_NQ_NP_834304-CBT110158982163_042026-F.webp</t>
        </is>
      </c>
      <c r="C464" t="inlineStr">
        <is>
          <t>N-random</t>
        </is>
      </c>
      <c r="D464" t="b">
        <v>0</v>
      </c>
      <c r="E464" t="b">
        <v>0</v>
      </c>
      <c r="F464" t="inlineStr">
        <is>
          <t>none</t>
        </is>
      </c>
      <c r="G464" t="inlineStr"/>
      <c r="H464" t="inlineStr">
        <is>
          <t>low</t>
        </is>
      </c>
      <c r="I464" t="inlineStr"/>
      <c r="J464" t="b">
        <v>0</v>
      </c>
      <c r="K464" t="inlineStr"/>
      <c r="L464" t="inlineStr">
        <is>
          <t>BIOAQUA
-VITAMIN C-
BIOAQUA
-VITAMIN C-
维生素C皙润精华乳
Vitamin C Moisturizing
Essence Lotion
Lock Water Elastic Smooth
BOKOD SHOW
维生素C皙润精华乳
Vitamin C Moisturizing
Essence Lotion
Lock Wave EUwe Smooth
银水保湿张用使滑
120ml 4.23FL.OZ
120ml 4.23FL.OZ</t>
        </is>
      </c>
      <c r="M464" t="inlineStr"/>
    </row>
    <row r="465">
      <c r="A465">
        <f>IMAGE("https://http2.mlstatic.com/D_NQ_NP_643364-CBT112323160260_062026-F.webp")</f>
        <v/>
      </c>
      <c r="B465" t="inlineStr">
        <is>
          <t>https://http2.mlstatic.com/D_NQ_NP_643364-CBT112323160260_062026-F.webp</t>
        </is>
      </c>
      <c r="C465" t="inlineStr">
        <is>
          <t>N-random</t>
        </is>
      </c>
      <c r="D465" t="b">
        <v>0</v>
      </c>
      <c r="E465" t="b">
        <v>0</v>
      </c>
      <c r="F465" t="inlineStr">
        <is>
          <t>none</t>
        </is>
      </c>
      <c r="G465" t="inlineStr"/>
      <c r="H465" t="inlineStr">
        <is>
          <t>low</t>
        </is>
      </c>
      <c r="I465" t="inlineStr"/>
      <c r="J465" t="b">
        <v>0</v>
      </c>
      <c r="K465" t="inlineStr"/>
      <c r="L465" t="inlineStr"/>
      <c r="M465" t="inlineStr"/>
    </row>
    <row r="466">
      <c r="A466">
        <f>IMAGE("https://http2.mlstatic.com/D_NQ_NP_672313-CBT104957852817_012026-F.webp")</f>
        <v/>
      </c>
      <c r="B466" t="inlineStr">
        <is>
          <t>https://http2.mlstatic.com/D_NQ_NP_672313-CBT104957852817_012026-F.webp</t>
        </is>
      </c>
      <c r="C466" t="inlineStr">
        <is>
          <t>N-random</t>
        </is>
      </c>
      <c r="D466" t="b">
        <v>0</v>
      </c>
      <c r="E466" t="b">
        <v>0</v>
      </c>
      <c r="F466" t="inlineStr">
        <is>
          <t>none</t>
        </is>
      </c>
      <c r="G466" t="inlineStr"/>
      <c r="H466" t="inlineStr">
        <is>
          <t>low</t>
        </is>
      </c>
      <c r="I466" t="inlineStr"/>
      <c r="J466" t="b">
        <v>0</v>
      </c>
      <c r="K466" t="inlineStr"/>
      <c r="L466" t="inlineStr"/>
      <c r="M466" t="inlineStr"/>
    </row>
    <row r="467">
      <c r="A467">
        <f>IMAGE("https://http2.mlstatic.com/D_NQ_NP_809671-CBT102051704093_122025-F.webp")</f>
        <v/>
      </c>
      <c r="B467" t="inlineStr">
        <is>
          <t>https://http2.mlstatic.com/D_NQ_NP_809671-CBT102051704093_122025-F.webp</t>
        </is>
      </c>
      <c r="C467" t="inlineStr">
        <is>
          <t>N-random</t>
        </is>
      </c>
      <c r="D467" t="b">
        <v>0</v>
      </c>
      <c r="E467" t="b">
        <v>0</v>
      </c>
      <c r="F467" t="inlineStr">
        <is>
          <t>none</t>
        </is>
      </c>
      <c r="G467" t="inlineStr"/>
      <c r="H467" t="inlineStr">
        <is>
          <t>low</t>
        </is>
      </c>
      <c r="I467" t="inlineStr"/>
      <c r="J467" t="b">
        <v>0</v>
      </c>
      <c r="K467" t="inlineStr"/>
      <c r="L467" t="inlineStr">
        <is>
          <t>DC</t>
        </is>
      </c>
      <c r="M467" t="inlineStr"/>
    </row>
    <row r="468">
      <c r="A468">
        <f>IMAGE("https://http2.mlstatic.com/D_NQ_NP_661535-CBT113267598657_062026-F.webp")</f>
        <v/>
      </c>
      <c r="B468" t="inlineStr">
        <is>
          <t>https://http2.mlstatic.com/D_NQ_NP_661535-CBT113267598657_062026-F.webp</t>
        </is>
      </c>
      <c r="C468" t="inlineStr">
        <is>
          <t>N-random</t>
        </is>
      </c>
      <c r="D468" t="b">
        <v>0</v>
      </c>
      <c r="E468" t="b">
        <v>0</v>
      </c>
      <c r="F468" t="inlineStr">
        <is>
          <t>none</t>
        </is>
      </c>
      <c r="G468" t="inlineStr"/>
      <c r="H468" t="inlineStr">
        <is>
          <t>low</t>
        </is>
      </c>
      <c r="I468" t="inlineStr"/>
      <c r="J468" t="b">
        <v>0</v>
      </c>
      <c r="K468" t="inlineStr"/>
      <c r="L468" t="inlineStr"/>
      <c r="M468" t="inlineStr"/>
    </row>
    <row r="469">
      <c r="A469">
        <f>IMAGE("https://http2.mlstatic.com/D_NQ_NP_612518-CBT113640008683_062026-F.webp")</f>
        <v/>
      </c>
      <c r="B469" t="inlineStr">
        <is>
          <t>https://http2.mlstatic.com/D_NQ_NP_612518-CBT113640008683_062026-F.webp</t>
        </is>
      </c>
      <c r="C469" t="inlineStr">
        <is>
          <t>N-random</t>
        </is>
      </c>
      <c r="D469" t="b">
        <v>0</v>
      </c>
      <c r="E469" t="b">
        <v>0</v>
      </c>
      <c r="F469" t="inlineStr">
        <is>
          <t>none</t>
        </is>
      </c>
      <c r="G469" t="inlineStr"/>
      <c r="H469" t="inlineStr">
        <is>
          <t>low</t>
        </is>
      </c>
      <c r="I469" t="b">
        <v>0</v>
      </c>
      <c r="J469" t="b">
        <v>0</v>
      </c>
      <c r="K469" t="inlineStr"/>
      <c r="L469" t="inlineStr">
        <is>
          <t>XXXX
LIT
SUP
辣辣鮮鮮雞
XOX</t>
        </is>
      </c>
      <c r="M469" t="inlineStr"/>
    </row>
    <row r="470">
      <c r="A470">
        <f>IMAGE("https://http2.mlstatic.com/D_NQ_NP_837438-MLM112233732020_062026-F.webp")</f>
        <v/>
      </c>
      <c r="B470" t="inlineStr">
        <is>
          <t>https://http2.mlstatic.com/D_NQ_NP_837438-MLM112233732020_062026-F.webp</t>
        </is>
      </c>
      <c r="C470" t="inlineStr">
        <is>
          <t>N-random</t>
        </is>
      </c>
      <c r="D470" t="b">
        <v>0</v>
      </c>
      <c r="E470" t="b">
        <v>0</v>
      </c>
      <c r="F470" t="inlineStr">
        <is>
          <t>none</t>
        </is>
      </c>
      <c r="G470" t="inlineStr"/>
      <c r="H470" t="inlineStr">
        <is>
          <t>low</t>
        </is>
      </c>
      <c r="I470" t="inlineStr"/>
      <c r="J470" t="b">
        <v>0</v>
      </c>
      <c r="K470" t="inlineStr"/>
      <c r="L470" t="inlineStr">
        <is>
          <t>ww
BAJAJ
SERGINE
Fyrve
BAJAJ
GENUINE
parts
HALIALE
BAJAJ
GENUINE
Darts
BAIALE
Fyrve
quied
ENIGINGS
BAJAJ
SNIONGO
Evrva
EVEYO
BAJAJ
GENUINE
parts
EVEVB
BAJAJ
GENUINE
BAJAJ
parts</t>
        </is>
      </c>
      <c r="M470" t="inlineStr"/>
    </row>
    <row r="471">
      <c r="A471">
        <f>IMAGE("https://http2.mlstatic.com/D_NQ_NP_639847-CBT112331785332_062026-F.webp")</f>
        <v/>
      </c>
      <c r="B471" t="inlineStr">
        <is>
          <t>https://http2.mlstatic.com/D_NQ_NP_639847-CBT112331785332_062026-F.webp</t>
        </is>
      </c>
      <c r="C471" t="inlineStr">
        <is>
          <t>N-random</t>
        </is>
      </c>
      <c r="D471" t="b">
        <v>0</v>
      </c>
      <c r="E471" t="b">
        <v>0</v>
      </c>
      <c r="F471" t="inlineStr">
        <is>
          <t>none</t>
        </is>
      </c>
      <c r="G471" t="inlineStr"/>
      <c r="H471" t="inlineStr">
        <is>
          <t>low</t>
        </is>
      </c>
      <c r="I471" t="inlineStr"/>
      <c r="J471" t="b">
        <v>0</v>
      </c>
      <c r="K471" t="inlineStr"/>
      <c r="L471" t="inlineStr">
        <is>
          <t>5
ECON
OFF
D
AUTO
عرعا
AUTO
+
+
+</t>
        </is>
      </c>
      <c r="M471" t="inlineStr"/>
    </row>
    <row r="472">
      <c r="A472">
        <f>IMAGE("https://http2.mlstatic.com/D_NQ_NP_814414-CBT112372023072_062026-F.webp")</f>
        <v/>
      </c>
      <c r="B472" t="inlineStr">
        <is>
          <t>https://http2.mlstatic.com/D_NQ_NP_814414-CBT112372023072_062026-F.webp</t>
        </is>
      </c>
      <c r="C472" t="inlineStr">
        <is>
          <t>N-random</t>
        </is>
      </c>
      <c r="D472" t="b">
        <v>0</v>
      </c>
      <c r="E472" t="b">
        <v>0</v>
      </c>
      <c r="F472" t="inlineStr">
        <is>
          <t>none</t>
        </is>
      </c>
      <c r="G472" t="inlineStr"/>
      <c r="H472" t="inlineStr">
        <is>
          <t>low</t>
        </is>
      </c>
      <c r="I472" t="inlineStr"/>
      <c r="J472" t="b">
        <v>0</v>
      </c>
      <c r="K472" t="inlineStr"/>
      <c r="L472" t="inlineStr"/>
      <c r="M472" t="inlineStr"/>
    </row>
    <row r="473">
      <c r="A473">
        <f>IMAGE("https://http2.mlstatic.com/D_NQ_NP_885172-MCO113477783937_062026-F.webp")</f>
        <v/>
      </c>
      <c r="B473" t="inlineStr">
        <is>
          <t>https://http2.mlstatic.com/D_NQ_NP_885172-MCO113477783937_062026-F.webp</t>
        </is>
      </c>
      <c r="C473" t="inlineStr">
        <is>
          <t>N-random</t>
        </is>
      </c>
      <c r="D473" t="b">
        <v>0</v>
      </c>
      <c r="E473" t="b">
        <v>0</v>
      </c>
      <c r="F473" t="inlineStr">
        <is>
          <t>none</t>
        </is>
      </c>
      <c r="G473" t="inlineStr"/>
      <c r="H473" t="inlineStr">
        <is>
          <t>low</t>
        </is>
      </c>
      <c r="I473" t="inlineStr"/>
      <c r="J473" t="b">
        <v>0</v>
      </c>
      <c r="K473" t="inlineStr"/>
      <c r="L473" t="inlineStr">
        <is>
          <t>me HD UNI
24-70mm 1:4L IS USM
24-70mm
IMAGE STABILIZER
ULTRASONIC</t>
        </is>
      </c>
      <c r="M473" t="inlineStr"/>
    </row>
    <row r="474">
      <c r="A474">
        <f>IMAGE("https://http2.mlstatic.com/D_NQ_NP_719394-MLB29772592352_032019-F.webp")</f>
        <v/>
      </c>
      <c r="B474" t="inlineStr">
        <is>
          <t>https://http2.mlstatic.com/D_NQ_NP_719394-MLB29772592352_032019-F.webp</t>
        </is>
      </c>
      <c r="C474" t="inlineStr">
        <is>
          <t>N-random</t>
        </is>
      </c>
      <c r="D474" t="b">
        <v>0</v>
      </c>
      <c r="E474" t="b">
        <v>0</v>
      </c>
      <c r="F474" t="inlineStr">
        <is>
          <t>none</t>
        </is>
      </c>
      <c r="G474" t="inlineStr"/>
      <c r="H474" t="inlineStr">
        <is>
          <t>low</t>
        </is>
      </c>
      <c r="I474" t="inlineStr"/>
      <c r="J474" t="b">
        <v>0</v>
      </c>
      <c r="K474" t="inlineStr"/>
      <c r="L474" t="inlineStr">
        <is>
          <t xml:space="preserve">PEX APEX PA
AAPEX APE
OPEX APEX A
APEX APEX
A APEX AP
PEX APEX A
APEX APEY
MAPEX
ENGINE PARTS
A
APEX APE
APEX APE
A
APEX APE
APEX APEX
APEX APE
AR
APEX
APE
Al
APEX
APEX
taar aa
ENGINE BEARINGS
APEX
PEX APEX
APEY
A
APEX
E BRONZINAS COJINETES
</t>
        </is>
      </c>
      <c r="M474" t="inlineStr"/>
    </row>
    <row r="475">
      <c r="A475">
        <f>IMAGE("https://http2.mlstatic.com/D_NQ_NP_870190-CBT93314192021_092025-F.webp")</f>
        <v/>
      </c>
      <c r="B475" t="inlineStr">
        <is>
          <t>https://http2.mlstatic.com/D_NQ_NP_870190-CBT93314192021_092025-F.webp</t>
        </is>
      </c>
      <c r="C475" t="inlineStr">
        <is>
          <t>N-random</t>
        </is>
      </c>
      <c r="D475" t="b">
        <v>0</v>
      </c>
      <c r="E475" t="b">
        <v>0</v>
      </c>
      <c r="F475" t="inlineStr">
        <is>
          <t>none</t>
        </is>
      </c>
      <c r="G475" t="inlineStr"/>
      <c r="H475" t="inlineStr">
        <is>
          <t>low</t>
        </is>
      </c>
      <c r="I475" t="inlineStr"/>
      <c r="J475" t="b">
        <v>0</v>
      </c>
      <c r="K475" t="inlineStr"/>
      <c r="L475" t="inlineStr"/>
      <c r="M475" t="inlineStr"/>
    </row>
    <row r="476">
      <c r="A476">
        <f>IMAGE("https://http2.mlstatic.com/D_NQ_NP_913146-CBT113601226389_062026-F.webp")</f>
        <v/>
      </c>
      <c r="B476" t="inlineStr">
        <is>
          <t>https://http2.mlstatic.com/D_NQ_NP_913146-CBT113601226389_062026-F.webp</t>
        </is>
      </c>
      <c r="C476" t="inlineStr">
        <is>
          <t>N-random</t>
        </is>
      </c>
      <c r="D476" t="b">
        <v>0</v>
      </c>
      <c r="E476" t="b">
        <v>0</v>
      </c>
      <c r="F476" t="inlineStr">
        <is>
          <t>none</t>
        </is>
      </c>
      <c r="G476" t="inlineStr"/>
      <c r="H476" t="inlineStr">
        <is>
          <t>low</t>
        </is>
      </c>
      <c r="I476" t="inlineStr"/>
      <c r="J476" t="b">
        <v>0</v>
      </c>
      <c r="K476" t="inlineStr"/>
      <c r="L476" t="inlineStr">
        <is>
          <t>HUANE</t>
        </is>
      </c>
      <c r="M476" t="inlineStr"/>
    </row>
    <row r="477">
      <c r="A477">
        <f>IMAGE("https://http2.mlstatic.com/D_NQ_NP_986433-CBT110014130563_042026-F.webp")</f>
        <v/>
      </c>
      <c r="B477" t="inlineStr">
        <is>
          <t>https://http2.mlstatic.com/D_NQ_NP_986433-CBT110014130563_042026-F.webp</t>
        </is>
      </c>
      <c r="C477" t="inlineStr">
        <is>
          <t>N-random</t>
        </is>
      </c>
      <c r="D477" t="b">
        <v>0</v>
      </c>
      <c r="E477" t="b">
        <v>0</v>
      </c>
      <c r="F477" t="inlineStr">
        <is>
          <t>none</t>
        </is>
      </c>
      <c r="G477" t="inlineStr"/>
      <c r="H477" t="inlineStr">
        <is>
          <t>low</t>
        </is>
      </c>
      <c r="I477" t="inlineStr"/>
      <c r="J477" t="b">
        <v>0</v>
      </c>
      <c r="K477" t="inlineStr"/>
      <c r="L477" t="inlineStr">
        <is>
          <t>NEW DESIGN</t>
        </is>
      </c>
      <c r="M477" t="inlineStr"/>
    </row>
    <row r="478">
      <c r="A478">
        <f>IMAGE("https://http2.mlstatic.com/D_NQ_NP_620480-MLB113396920351_062026-F.webp")</f>
        <v/>
      </c>
      <c r="B478" t="inlineStr">
        <is>
          <t>https://http2.mlstatic.com/D_NQ_NP_620480-MLB113396920351_062026-F.webp</t>
        </is>
      </c>
      <c r="C478" t="inlineStr">
        <is>
          <t>N-random</t>
        </is>
      </c>
      <c r="D478" t="b">
        <v>0</v>
      </c>
      <c r="E478" t="b">
        <v>0</v>
      </c>
      <c r="F478" t="inlineStr">
        <is>
          <t>none</t>
        </is>
      </c>
      <c r="G478" t="inlineStr"/>
      <c r="H478" t="inlineStr">
        <is>
          <t>low</t>
        </is>
      </c>
      <c r="I478" t="inlineStr"/>
      <c r="J478" t="b">
        <v>0</v>
      </c>
      <c r="K478" t="inlineStr"/>
      <c r="L478" t="inlineStr">
        <is>
          <t>OLYMPUS TRIP 35
made
in
Japan
Olympu</t>
        </is>
      </c>
      <c r="M478" t="inlineStr"/>
    </row>
    <row r="479">
      <c r="A479">
        <f>IMAGE("https://http2.mlstatic.com/D_NQ_NP_913022-CBT107357895164_032026-F.webp")</f>
        <v/>
      </c>
      <c r="B479" t="inlineStr">
        <is>
          <t>https://http2.mlstatic.com/D_NQ_NP_913022-CBT107357895164_032026-F.webp</t>
        </is>
      </c>
      <c r="C479" t="inlineStr">
        <is>
          <t>N-random</t>
        </is>
      </c>
      <c r="D479" t="b">
        <v>0</v>
      </c>
      <c r="E479" t="b">
        <v>0</v>
      </c>
      <c r="F479" t="inlineStr">
        <is>
          <t>none</t>
        </is>
      </c>
      <c r="G479" t="inlineStr"/>
      <c r="H479" t="inlineStr">
        <is>
          <t>low</t>
        </is>
      </c>
      <c r="I479" t="b">
        <v>0</v>
      </c>
      <c r="J479" t="b">
        <v>0</v>
      </c>
      <c r="K479" t="inlineStr"/>
      <c r="L479" t="inlineStr"/>
      <c r="M479" t="inlineStr"/>
    </row>
    <row r="480">
      <c r="A480">
        <f>IMAGE("https://http2.mlstatic.com/D_NQ_NP_782479-CBT113586043315_062026-F.webp")</f>
        <v/>
      </c>
      <c r="B480" t="inlineStr">
        <is>
          <t>https://http2.mlstatic.com/D_NQ_NP_782479-CBT113586043315_062026-F.webp</t>
        </is>
      </c>
      <c r="C480" t="inlineStr">
        <is>
          <t>N-random</t>
        </is>
      </c>
      <c r="D480" t="b">
        <v>0</v>
      </c>
      <c r="E480" t="b">
        <v>0</v>
      </c>
      <c r="F480" t="inlineStr">
        <is>
          <t>none</t>
        </is>
      </c>
      <c r="G480" t="inlineStr"/>
      <c r="H480" t="inlineStr">
        <is>
          <t>low</t>
        </is>
      </c>
      <c r="I480" t="inlineStr"/>
      <c r="J480" t="b">
        <v>0</v>
      </c>
      <c r="K480" t="inlineStr"/>
      <c r="L480" t="inlineStr">
        <is>
          <t>control
A
A
A
clear
od
7
down
4
=
8
4
5
°
2
9
9
+
3
enter</t>
        </is>
      </c>
      <c r="M480" t="inlineStr"/>
    </row>
    <row r="481">
      <c r="A481">
        <f>IMAGE("https://http2.mlstatic.com/D_NQ_NP_928095-CBT112332249738_062026-F.webp")</f>
        <v/>
      </c>
      <c r="B481" t="inlineStr">
        <is>
          <t>https://http2.mlstatic.com/D_NQ_NP_928095-CBT112332249738_062026-F.webp</t>
        </is>
      </c>
      <c r="C481" t="inlineStr">
        <is>
          <t>N-random</t>
        </is>
      </c>
      <c r="D481" t="b">
        <v>0</v>
      </c>
      <c r="E481" t="b">
        <v>0</v>
      </c>
      <c r="F481" t="inlineStr">
        <is>
          <t>none</t>
        </is>
      </c>
      <c r="G481" t="inlineStr"/>
      <c r="H481" t="inlineStr">
        <is>
          <t>low</t>
        </is>
      </c>
      <c r="I481" t="inlineStr"/>
      <c r="J481" t="b">
        <v>0</v>
      </c>
      <c r="K481" t="inlineStr"/>
      <c r="L481" t="inlineStr"/>
      <c r="M481" t="inlineStr"/>
    </row>
    <row r="482">
      <c r="A482">
        <f>IMAGE("https://http2.mlstatic.com/D_NQ_NP_915842-MLM91237726812_092025-F.webp")</f>
        <v/>
      </c>
      <c r="B482" t="inlineStr">
        <is>
          <t>https://http2.mlstatic.com/D_NQ_NP_915842-MLM91237726812_092025-F.webp</t>
        </is>
      </c>
      <c r="C482" t="inlineStr">
        <is>
          <t>N-random</t>
        </is>
      </c>
      <c r="D482" t="b">
        <v>0</v>
      </c>
      <c r="E482" t="b">
        <v>0</v>
      </c>
      <c r="F482" t="inlineStr">
        <is>
          <t>none</t>
        </is>
      </c>
      <c r="G482" t="inlineStr"/>
      <c r="H482" t="inlineStr">
        <is>
          <t>low</t>
        </is>
      </c>
      <c r="I482" t="inlineStr"/>
      <c r="J482" t="b">
        <v>0</v>
      </c>
      <c r="K482" t="inlineStr"/>
      <c r="L482" t="inlineStr">
        <is>
          <t>Certificate
authenticity
No. 013/03398
This is to certify
that the articles are made from
natural Baltic amber
and they comply with all
quality standards.
Made in Lithuania</t>
        </is>
      </c>
      <c r="M482" t="inlineStr"/>
    </row>
    <row r="483">
      <c r="A483">
        <f>IMAGE("https://http2.mlstatic.com/D_NQ_NP_712839-CBT112492163990_062026-F.webp")</f>
        <v/>
      </c>
      <c r="B483" t="inlineStr">
        <is>
          <t>https://http2.mlstatic.com/D_NQ_NP_712839-CBT112492163990_062026-F.webp</t>
        </is>
      </c>
      <c r="C483" t="inlineStr">
        <is>
          <t>N-random</t>
        </is>
      </c>
      <c r="D483" t="b">
        <v>0</v>
      </c>
      <c r="E483" t="b">
        <v>0</v>
      </c>
      <c r="F483" t="inlineStr">
        <is>
          <t>none</t>
        </is>
      </c>
      <c r="G483" t="inlineStr"/>
      <c r="H483" t="inlineStr">
        <is>
          <t>low</t>
        </is>
      </c>
      <c r="I483" t="inlineStr"/>
      <c r="J483" t="b">
        <v>0</v>
      </c>
      <c r="K483" t="inlineStr"/>
      <c r="L483" t="inlineStr"/>
      <c r="M483" t="inlineStr"/>
    </row>
    <row r="484">
      <c r="A484">
        <f>IMAGE("https://http2.mlstatic.com/D_NQ_NP_679546-MLA113424231773_062026-F.webp")</f>
        <v/>
      </c>
      <c r="B484" t="inlineStr">
        <is>
          <t>https://http2.mlstatic.com/D_NQ_NP_679546-MLA113424231773_062026-F.webp</t>
        </is>
      </c>
      <c r="C484" t="inlineStr">
        <is>
          <t>N-random</t>
        </is>
      </c>
      <c r="D484" t="b">
        <v>0</v>
      </c>
      <c r="E484" t="b">
        <v>1</v>
      </c>
      <c r="F484" t="inlineStr">
        <is>
          <t>badge</t>
        </is>
      </c>
      <c r="G484" t="inlineStr">
        <is>
          <t>un sello que imita una etiqueta oficial de MercadoLibre</t>
        </is>
      </c>
      <c r="H484" t="inlineStr">
        <is>
          <t>high</t>
        </is>
      </c>
      <c r="I484" t="b">
        <v>0</v>
      </c>
      <c r="J484" t="b">
        <v>0</v>
      </c>
      <c r="K484" t="inlineStr"/>
      <c r="L484" t="inlineStr">
        <is>
          <t>JOHN
CARPENTER'S
NIGHT
STORM
KING
SIAN
MAN RAKE
BLOOD OF
១៩១៩
TAKEN
BOOK 28 NEXT OF KIN
MANDRAKE
CHIANG</t>
        </is>
      </c>
      <c r="M484" t="inlineStr"/>
    </row>
    <row r="485">
      <c r="A485">
        <f>IMAGE("https://http2.mlstatic.com/D_NQ_NP_828251-CBT112421555510_062026-F.webp")</f>
        <v/>
      </c>
      <c r="B485" t="inlineStr">
        <is>
          <t>https://http2.mlstatic.com/D_NQ_NP_828251-CBT112421555510_062026-F.webp</t>
        </is>
      </c>
      <c r="C485" t="inlineStr">
        <is>
          <t>N-random</t>
        </is>
      </c>
      <c r="D485" t="b">
        <v>0</v>
      </c>
      <c r="E485" t="b">
        <v>0</v>
      </c>
      <c r="F485" t="inlineStr">
        <is>
          <t>none</t>
        </is>
      </c>
      <c r="G485" t="inlineStr"/>
      <c r="H485" t="inlineStr">
        <is>
          <t>low</t>
        </is>
      </c>
      <c r="I485" t="inlineStr"/>
      <c r="J485" t="b">
        <v>0</v>
      </c>
      <c r="K485" t="inlineStr"/>
      <c r="L485" t="inlineStr"/>
      <c r="M485" t="inlineStr"/>
    </row>
    <row r="486">
      <c r="A486">
        <f>IMAGE("https://http2.mlstatic.com/D_NQ_NP_853068-MLB113346828801_062026-F.webp")</f>
        <v/>
      </c>
      <c r="B486" t="inlineStr">
        <is>
          <t>https://http2.mlstatic.com/D_NQ_NP_853068-MLB113346828801_062026-F.webp</t>
        </is>
      </c>
      <c r="C486" t="inlineStr">
        <is>
          <t>N-random</t>
        </is>
      </c>
      <c r="D486" t="b">
        <v>0</v>
      </c>
      <c r="E486" t="b">
        <v>0</v>
      </c>
      <c r="F486" t="inlineStr">
        <is>
          <t>none</t>
        </is>
      </c>
      <c r="G486" t="inlineStr"/>
      <c r="H486" t="inlineStr">
        <is>
          <t>low</t>
        </is>
      </c>
      <c r="I486" t="inlineStr"/>
      <c r="J486" t="b">
        <v>0</v>
      </c>
      <c r="K486" t="inlineStr"/>
      <c r="L486" t="inlineStr">
        <is>
          <t>GM
F03H00K052
21-10-05
3471
26217177
821.02.01
654406818
A1212783471A3201</t>
        </is>
      </c>
      <c r="M486" t="inlineStr"/>
    </row>
    <row r="487">
      <c r="A487">
        <f>IMAGE("https://http2.mlstatic.com/D_NQ_NP_877292-MLB84737373192_052025-F.webp")</f>
        <v/>
      </c>
      <c r="B487" t="inlineStr">
        <is>
          <t>https://http2.mlstatic.com/D_NQ_NP_877292-MLB84737373192_052025-F.webp</t>
        </is>
      </c>
      <c r="C487" t="inlineStr">
        <is>
          <t>N-random</t>
        </is>
      </c>
      <c r="D487" t="b">
        <v>0</v>
      </c>
      <c r="E487" t="b">
        <v>0</v>
      </c>
      <c r="F487" t="inlineStr">
        <is>
          <t>none</t>
        </is>
      </c>
      <c r="G487" t="inlineStr"/>
      <c r="H487" t="inlineStr">
        <is>
          <t>low</t>
        </is>
      </c>
      <c r="I487" t="b">
        <v>0</v>
      </c>
      <c r="J487" t="b">
        <v>0</v>
      </c>
      <c r="K487" t="inlineStr"/>
      <c r="L487" t="inlineStr"/>
      <c r="M487" t="inlineStr"/>
    </row>
    <row r="488">
      <c r="A488">
        <f>IMAGE("https://http2.mlstatic.com/D_NQ_NP_794568-MLM100702042374_122025-F.webp")</f>
        <v/>
      </c>
      <c r="B488" t="inlineStr">
        <is>
          <t>https://http2.mlstatic.com/D_NQ_NP_794568-MLM100702042374_122025-F.webp</t>
        </is>
      </c>
      <c r="C488" t="inlineStr">
        <is>
          <t>N-random</t>
        </is>
      </c>
      <c r="D488" t="b">
        <v>0</v>
      </c>
      <c r="E488" t="b">
        <v>0</v>
      </c>
      <c r="F488" t="inlineStr">
        <is>
          <t>none</t>
        </is>
      </c>
      <c r="G488" t="inlineStr"/>
      <c r="H488" t="inlineStr">
        <is>
          <t>low</t>
        </is>
      </c>
      <c r="I488" t="b">
        <v>0</v>
      </c>
      <c r="J488" t="b">
        <v>0</v>
      </c>
      <c r="K488" t="inlineStr"/>
      <c r="L488" t="inlineStr"/>
      <c r="M488" t="inlineStr"/>
    </row>
    <row r="489">
      <c r="A489">
        <f>IMAGE("https://http2.mlstatic.com/D_NQ_NP_883972-CBT113324916095_062026-F.webp")</f>
        <v/>
      </c>
      <c r="B489" t="inlineStr">
        <is>
          <t>https://http2.mlstatic.com/D_NQ_NP_883972-CBT113324916095_062026-F.webp</t>
        </is>
      </c>
      <c r="C489" t="inlineStr">
        <is>
          <t>N-random</t>
        </is>
      </c>
      <c r="D489" t="b">
        <v>0</v>
      </c>
      <c r="E489" t="b">
        <v>0</v>
      </c>
      <c r="F489" t="inlineStr">
        <is>
          <t>none</t>
        </is>
      </c>
      <c r="G489" t="inlineStr"/>
      <c r="H489" t="inlineStr">
        <is>
          <t>low</t>
        </is>
      </c>
      <c r="I489" t="inlineStr"/>
      <c r="J489" t="b">
        <v>0</v>
      </c>
      <c r="K489" t="inlineStr"/>
      <c r="L489" t="inlineStr"/>
      <c r="M489" t="inlineStr"/>
    </row>
    <row r="490">
      <c r="A490">
        <f>IMAGE("https://http2.mlstatic.com/D_NQ_NP_655811-MLB31711401333_082019-F.webp")</f>
        <v/>
      </c>
      <c r="B490" t="inlineStr">
        <is>
          <t>https://http2.mlstatic.com/D_NQ_NP_655811-MLB31711401333_082019-F.webp</t>
        </is>
      </c>
      <c r="C490" t="inlineStr">
        <is>
          <t>N-random</t>
        </is>
      </c>
      <c r="D490" t="b">
        <v>0</v>
      </c>
      <c r="E490" t="b">
        <v>0</v>
      </c>
      <c r="F490" t="inlineStr">
        <is>
          <t>none</t>
        </is>
      </c>
      <c r="G490" t="inlineStr"/>
      <c r="H490" t="inlineStr">
        <is>
          <t>low</t>
        </is>
      </c>
      <c r="I490" t="inlineStr"/>
      <c r="J490" t="b">
        <v>0</v>
      </c>
      <c r="K490" t="inlineStr"/>
      <c r="L490" t="inlineStr"/>
      <c r="M490" t="inlineStr"/>
    </row>
    <row r="491">
      <c r="A491">
        <f>IMAGE("https://http2.mlstatic.com/D_NQ_NP_648840-CBT94997106546_102025-F.webp")</f>
        <v/>
      </c>
      <c r="B491" t="inlineStr">
        <is>
          <t>https://http2.mlstatic.com/D_NQ_NP_648840-CBT94997106546_102025-F.webp</t>
        </is>
      </c>
      <c r="C491" t="inlineStr">
        <is>
          <t>N-random</t>
        </is>
      </c>
      <c r="D491" t="b">
        <v>0</v>
      </c>
      <c r="E491" t="b">
        <v>0</v>
      </c>
      <c r="F491" t="inlineStr">
        <is>
          <t>none</t>
        </is>
      </c>
      <c r="G491" t="inlineStr"/>
      <c r="H491" t="inlineStr">
        <is>
          <t>low</t>
        </is>
      </c>
      <c r="I491" t="inlineStr"/>
      <c r="J491" t="b">
        <v>0</v>
      </c>
      <c r="K491" t="inlineStr"/>
      <c r="L491" t="inlineStr"/>
      <c r="M491" t="inlineStr"/>
    </row>
    <row r="492">
      <c r="A492">
        <f>IMAGE("https://http2.mlstatic.com/D_NQ_NP_661734-CBT107866369966_032026-F.webp")</f>
        <v/>
      </c>
      <c r="B492" t="inlineStr">
        <is>
          <t>https://http2.mlstatic.com/D_NQ_NP_661734-CBT107866369966_032026-F.webp</t>
        </is>
      </c>
      <c r="C492" t="inlineStr">
        <is>
          <t>N-random</t>
        </is>
      </c>
      <c r="D492" t="b">
        <v>0</v>
      </c>
      <c r="E492" t="b">
        <v>0</v>
      </c>
      <c r="F492" t="inlineStr">
        <is>
          <t>none</t>
        </is>
      </c>
      <c r="G492" t="inlineStr"/>
      <c r="H492" t="inlineStr">
        <is>
          <t>low</t>
        </is>
      </c>
      <c r="I492" t="inlineStr"/>
      <c r="J492" t="b">
        <v>0</v>
      </c>
      <c r="K492" t="inlineStr"/>
      <c r="L492" t="inlineStr"/>
      <c r="M492" t="inlineStr"/>
    </row>
    <row r="493">
      <c r="A493">
        <f>IMAGE("https://http2.mlstatic.com/D_NQ_NP_675934-CBT113339397775_062026-F.webp")</f>
        <v/>
      </c>
      <c r="B493" t="inlineStr">
        <is>
          <t>https://http2.mlstatic.com/D_NQ_NP_675934-CBT113339397775_062026-F.webp</t>
        </is>
      </c>
      <c r="C493" t="inlineStr">
        <is>
          <t>N-random</t>
        </is>
      </c>
      <c r="D493" t="b">
        <v>0</v>
      </c>
      <c r="E493" t="b">
        <v>0</v>
      </c>
      <c r="F493" t="inlineStr">
        <is>
          <t>none</t>
        </is>
      </c>
      <c r="G493" t="inlineStr"/>
      <c r="H493" t="inlineStr">
        <is>
          <t>low</t>
        </is>
      </c>
      <c r="I493" t="inlineStr"/>
      <c r="J493" t="b">
        <v>0</v>
      </c>
      <c r="K493" t="inlineStr"/>
      <c r="L493" t="inlineStr">
        <is>
          <t>SAV</t>
        </is>
      </c>
      <c r="M493" t="inlineStr"/>
    </row>
    <row r="494">
      <c r="A494">
        <f>IMAGE("https://http2.mlstatic.com/D_NQ_NP_776585-CBT103567076094_012026-F.webp")</f>
        <v/>
      </c>
      <c r="B494" t="inlineStr">
        <is>
          <t>https://http2.mlstatic.com/D_NQ_NP_776585-CBT103567076094_012026-F.webp</t>
        </is>
      </c>
      <c r="C494" t="inlineStr">
        <is>
          <t>N-random</t>
        </is>
      </c>
      <c r="D494" t="b">
        <v>0</v>
      </c>
      <c r="E494" t="b">
        <v>0</v>
      </c>
      <c r="F494" t="inlineStr">
        <is>
          <t>none</t>
        </is>
      </c>
      <c r="G494" t="inlineStr"/>
      <c r="H494" t="inlineStr">
        <is>
          <t>low</t>
        </is>
      </c>
      <c r="I494" t="b">
        <v>0</v>
      </c>
      <c r="J494" t="b">
        <v>0</v>
      </c>
      <c r="K494" t="inlineStr"/>
      <c r="L494" t="inlineStr">
        <is>
          <t>crocs</t>
        </is>
      </c>
      <c r="M494" t="inlineStr"/>
    </row>
    <row r="495">
      <c r="A495">
        <f>IMAGE("https://http2.mlstatic.com/D_NQ_NP_981613-MLA113633518551_062026-F.webp")</f>
        <v/>
      </c>
      <c r="B495" t="inlineStr">
        <is>
          <t>https://http2.mlstatic.com/D_NQ_NP_981613-MLA113633518551_062026-F.webp</t>
        </is>
      </c>
      <c r="C495" t="inlineStr">
        <is>
          <t>N-random</t>
        </is>
      </c>
      <c r="D495" t="b">
        <v>0</v>
      </c>
      <c r="E495" t="b">
        <v>0</v>
      </c>
      <c r="F495" t="inlineStr">
        <is>
          <t>none</t>
        </is>
      </c>
      <c r="G495" t="inlineStr"/>
      <c r="H495" t="inlineStr">
        <is>
          <t>low</t>
        </is>
      </c>
      <c r="I495" t="inlineStr"/>
      <c r="J495" t="b">
        <v>0</v>
      </c>
      <c r="K495" t="inlineStr"/>
      <c r="L495" t="inlineStr"/>
      <c r="M495" t="inlineStr"/>
    </row>
    <row r="496">
      <c r="A496">
        <f>IMAGE("https://http2.mlstatic.com/D_NQ_NP_860296-MCO113447274381_062026-F.webp")</f>
        <v/>
      </c>
      <c r="B496" t="inlineStr">
        <is>
          <t>https://http2.mlstatic.com/D_NQ_NP_860296-MCO113447274381_062026-F.webp</t>
        </is>
      </c>
      <c r="C496" t="inlineStr">
        <is>
          <t>N-random</t>
        </is>
      </c>
      <c r="D496" t="b">
        <v>0</v>
      </c>
      <c r="E496" t="b">
        <v>0</v>
      </c>
      <c r="F496" t="inlineStr">
        <is>
          <t>none</t>
        </is>
      </c>
      <c r="G496" t="inlineStr"/>
      <c r="H496" t="inlineStr">
        <is>
          <t>low</t>
        </is>
      </c>
      <c r="I496" t="inlineStr"/>
      <c r="J496" t="b">
        <v>0</v>
      </c>
      <c r="K496" t="inlineStr"/>
      <c r="L496" t="inlineStr">
        <is>
          <t>dura MOBI</t>
        </is>
      </c>
      <c r="M496" t="inlineStr"/>
    </row>
    <row r="497">
      <c r="A497">
        <f>IMAGE("https://http2.mlstatic.com/D_NQ_NP_780630-CBT92794397353_092025-F.webp")</f>
        <v/>
      </c>
      <c r="B497" t="inlineStr">
        <is>
          <t>https://http2.mlstatic.com/D_NQ_NP_780630-CBT92794397353_092025-F.webp</t>
        </is>
      </c>
      <c r="C497" t="inlineStr">
        <is>
          <t>N-random</t>
        </is>
      </c>
      <c r="D497" t="b">
        <v>0</v>
      </c>
      <c r="E497" t="b">
        <v>0</v>
      </c>
      <c r="F497" t="inlineStr">
        <is>
          <t>none</t>
        </is>
      </c>
      <c r="G497" t="inlineStr"/>
      <c r="H497" t="inlineStr">
        <is>
          <t>high</t>
        </is>
      </c>
      <c r="I497" t="b">
        <v>0</v>
      </c>
      <c r="J497" t="b">
        <v>0</v>
      </c>
      <c r="K497" t="inlineStr"/>
      <c r="L497" t="inlineStr"/>
      <c r="M497" t="inlineStr"/>
    </row>
    <row r="498">
      <c r="A498">
        <f>IMAGE("https://http2.mlstatic.com/D_NQ_NP_916929-CBT113452790659_062026-F.webp")</f>
        <v/>
      </c>
      <c r="B498" t="inlineStr">
        <is>
          <t>https://http2.mlstatic.com/D_NQ_NP_916929-CBT113452790659_062026-F.webp</t>
        </is>
      </c>
      <c r="C498" t="inlineStr">
        <is>
          <t>N-random</t>
        </is>
      </c>
      <c r="D498" t="b">
        <v>0</v>
      </c>
      <c r="E498" t="b">
        <v>0</v>
      </c>
      <c r="F498" t="inlineStr">
        <is>
          <t>none</t>
        </is>
      </c>
      <c r="G498" t="inlineStr"/>
      <c r="H498" t="inlineStr">
        <is>
          <t>low</t>
        </is>
      </c>
      <c r="I498" t="inlineStr"/>
      <c r="J498" t="b">
        <v>0</v>
      </c>
      <c r="K498" t="inlineStr"/>
      <c r="L498" t="inlineStr"/>
      <c r="M498" t="inlineStr"/>
    </row>
    <row r="499">
      <c r="A499">
        <f>IMAGE("https://http2.mlstatic.com/D_NQ_NP_951774-CBT96225734774_102025-F.webp")</f>
        <v/>
      </c>
      <c r="B499" t="inlineStr">
        <is>
          <t>https://http2.mlstatic.com/D_NQ_NP_951774-CBT96225734774_102025-F.webp</t>
        </is>
      </c>
      <c r="C499" t="inlineStr">
        <is>
          <t>N-random</t>
        </is>
      </c>
      <c r="D499" t="b">
        <v>0</v>
      </c>
      <c r="E499" t="b">
        <v>0</v>
      </c>
      <c r="F499" t="inlineStr">
        <is>
          <t>none</t>
        </is>
      </c>
      <c r="G499" t="inlineStr"/>
      <c r="H499" t="inlineStr">
        <is>
          <t>low</t>
        </is>
      </c>
      <c r="I499" t="inlineStr"/>
      <c r="J499" t="b">
        <v>0</v>
      </c>
      <c r="K499" t="inlineStr"/>
      <c r="L499" t="inlineStr">
        <is>
          <t>www.
Guessing Bottle Game
BEVERAGES BOTTLE CULLIDE
WITH EACH OTHER</t>
        </is>
      </c>
      <c r="M499" t="inlineStr"/>
    </row>
    <row r="500">
      <c r="A500">
        <f>IMAGE("https://http2.mlstatic.com/D_NQ_NP_836260-CBT112305388860_062026-F.webp")</f>
        <v/>
      </c>
      <c r="B500" t="inlineStr">
        <is>
          <t>https://http2.mlstatic.com/D_NQ_NP_836260-CBT112305388860_062026-F.webp</t>
        </is>
      </c>
      <c r="C500" t="inlineStr">
        <is>
          <t>N-random</t>
        </is>
      </c>
      <c r="D500" t="b">
        <v>0</v>
      </c>
      <c r="E500" t="b">
        <v>0</v>
      </c>
      <c r="F500" t="inlineStr">
        <is>
          <t>none</t>
        </is>
      </c>
      <c r="G500" t="inlineStr"/>
      <c r="H500" t="inlineStr">
        <is>
          <t>low</t>
        </is>
      </c>
      <c r="I500" t="inlineStr"/>
      <c r="J500" t="b">
        <v>0</v>
      </c>
      <c r="K500" t="inlineStr"/>
      <c r="L500" t="inlineStr">
        <is>
          <t>IT'S MY
Groundhog
Day
BIRTHDAY!</t>
        </is>
      </c>
      <c r="M500" t="inlineStr"/>
    </row>
    <row r="501">
      <c r="A501">
        <f>IMAGE("https://http2.mlstatic.com/D_NQ_NP_624503-CBT113415617163_062026-F.webp")</f>
        <v/>
      </c>
      <c r="B501" t="inlineStr">
        <is>
          <t>https://http2.mlstatic.com/D_NQ_NP_624503-CBT113415617163_062026-F.webp</t>
        </is>
      </c>
      <c r="C501" t="inlineStr">
        <is>
          <t>N-random</t>
        </is>
      </c>
      <c r="D501" t="b">
        <v>0</v>
      </c>
      <c r="E501" t="inlineStr"/>
      <c r="F501" t="inlineStr"/>
      <c r="G501" t="inlineStr">
        <is>
          <t>PARSE_ERROR: ```json
{
  "has_infraction": true,
  "reason": "badge",
  "evidence": "SHUN SHUN SHUN SHUN SHUN SHUN SHUN SHUN SHUN SHUN SHUN SHUN SHUN SHUN SHUN SHUN SHUN SHUN SHUN SHUN SHUN SHUN SHUN SHUN SHUN SHU</t>
        </is>
      </c>
      <c r="H501" t="inlineStr"/>
      <c r="I501" t="b">
        <v>0</v>
      </c>
      <c r="J501" t="b">
        <v>0</v>
      </c>
      <c r="K501" t="inlineStr"/>
      <c r="L501" t="inlineStr">
        <is>
          <t>平安喜乐
ping an xi le
SHUN
SHUN
SHUN
順
SHUN
SHUN
SHUN
SHUN
are
诸事顺利
GOOD LUCKY
You
bea</t>
        </is>
      </c>
      <c r="M501" t="inlineStr"/>
    </row>
    <row r="502">
      <c r="A502">
        <f>IMAGE("https://http2.mlstatic.com/D_NQ_NP_884872-CBT112352481060_062026-F.webp")</f>
        <v/>
      </c>
      <c r="B502" t="inlineStr">
        <is>
          <t>https://http2.mlstatic.com/D_NQ_NP_884872-CBT112352481060_062026-F.webp</t>
        </is>
      </c>
      <c r="C502" t="inlineStr">
        <is>
          <t>N-random</t>
        </is>
      </c>
      <c r="D502" t="b">
        <v>0</v>
      </c>
      <c r="E502" t="b">
        <v>0</v>
      </c>
      <c r="F502" t="inlineStr">
        <is>
          <t>none</t>
        </is>
      </c>
      <c r="G502" t="inlineStr"/>
      <c r="H502" t="inlineStr">
        <is>
          <t>low</t>
        </is>
      </c>
      <c r="I502" t="inlineStr"/>
      <c r="J502" t="b">
        <v>0</v>
      </c>
      <c r="K502" t="inlineStr"/>
      <c r="L502" t="inlineStr">
        <is>
          <t>CAR SCRATCH RENOVER
EXE
क्ष
COSTING PROTECTION
Filed in crate
STING GLOSS
CAR SCRATCH
REMOVER
P
REMOVE MILD
SCRATCHES IN THE PAINT
CAR SCRATCH CAR SCRATCH
REMOVER
REMOVER
REMOVE MILD
SCRATCHES IN
THE PAINT
REMOVE MILD
SCRATCHES IN
THE PAINT
NET:60ML/2FL.OZ
NET:60ML/2FL.OZ
NET:60ML/2FL.OZ</t>
        </is>
      </c>
      <c r="M502" t="inlineStr"/>
    </row>
    <row r="503">
      <c r="A503">
        <f>IMAGE("https://http2.mlstatic.com/D_NQ_NP_859997-CBT113010282635_062026-F.webp")</f>
        <v/>
      </c>
      <c r="B503" t="inlineStr">
        <is>
          <t>https://http2.mlstatic.com/D_NQ_NP_859997-CBT113010282635_062026-F.webp</t>
        </is>
      </c>
      <c r="C503" t="inlineStr">
        <is>
          <t>N-random</t>
        </is>
      </c>
      <c r="D503" t="b">
        <v>0</v>
      </c>
      <c r="E503" t="b">
        <v>0</v>
      </c>
      <c r="F503" t="inlineStr">
        <is>
          <t>none</t>
        </is>
      </c>
      <c r="G503" t="inlineStr"/>
      <c r="H503" t="inlineStr">
        <is>
          <t>low</t>
        </is>
      </c>
      <c r="I503" t="inlineStr"/>
      <c r="J503" t="b">
        <v>0</v>
      </c>
      <c r="K503" t="inlineStr"/>
      <c r="L503" t="inlineStr">
        <is>
          <t>check</t>
        </is>
      </c>
      <c r="M503" t="inlineStr"/>
    </row>
    <row r="504">
      <c r="A504">
        <f>IMAGE("https://http2.mlstatic.com/D_NQ_NP_635706-CBT113411413927_062026-F.webp")</f>
        <v/>
      </c>
      <c r="B504" t="inlineStr">
        <is>
          <t>https://http2.mlstatic.com/D_NQ_NP_635706-CBT113411413927_062026-F.webp</t>
        </is>
      </c>
      <c r="C504" t="inlineStr">
        <is>
          <t>N-random</t>
        </is>
      </c>
      <c r="D504" t="b">
        <v>0</v>
      </c>
      <c r="E504" t="b">
        <v>0</v>
      </c>
      <c r="F504" t="inlineStr">
        <is>
          <t>none</t>
        </is>
      </c>
      <c r="G504" t="inlineStr"/>
      <c r="H504" t="inlineStr">
        <is>
          <t>low</t>
        </is>
      </c>
      <c r="I504" t="inlineStr"/>
      <c r="J504" t="b">
        <v>0</v>
      </c>
      <c r="K504" t="inlineStr"/>
      <c r="L504" t="inlineStr"/>
      <c r="M504" t="inlineStr"/>
    </row>
    <row r="505">
      <c r="A505">
        <f>IMAGE("https://http2.mlstatic.com/D_NQ_NP_822242-MLM101406010483_122025-F.webp")</f>
        <v/>
      </c>
      <c r="B505" t="inlineStr">
        <is>
          <t>https://http2.mlstatic.com/D_NQ_NP_822242-MLM101406010483_122025-F.webp</t>
        </is>
      </c>
      <c r="C505" t="inlineStr">
        <is>
          <t>N-random</t>
        </is>
      </c>
      <c r="D505" t="b">
        <v>0</v>
      </c>
      <c r="E505" t="b">
        <v>0</v>
      </c>
      <c r="F505" t="inlineStr">
        <is>
          <t>none</t>
        </is>
      </c>
      <c r="G505" t="inlineStr"/>
      <c r="H505" t="inlineStr">
        <is>
          <t>low</t>
        </is>
      </c>
      <c r="I505" t="inlineStr"/>
      <c r="J505" t="b">
        <v>0</v>
      </c>
      <c r="K505" t="inlineStr"/>
      <c r="L505" t="inlineStr"/>
      <c r="M505" t="inlineStr"/>
    </row>
    <row r="506">
      <c r="A506">
        <f>IMAGE("https://http2.mlstatic.com/D_NQ_NP_954362-CBT98493970491_112025-F.webp")</f>
        <v/>
      </c>
      <c r="B506" t="inlineStr">
        <is>
          <t>https://http2.mlstatic.com/D_NQ_NP_954362-CBT98493970491_112025-F.webp</t>
        </is>
      </c>
      <c r="C506" t="inlineStr">
        <is>
          <t>N-random</t>
        </is>
      </c>
      <c r="D506" t="b">
        <v>0</v>
      </c>
      <c r="E506" t="b">
        <v>0</v>
      </c>
      <c r="F506" t="inlineStr">
        <is>
          <t>none</t>
        </is>
      </c>
      <c r="G506" t="inlineStr"/>
      <c r="H506" t="inlineStr">
        <is>
          <t>low</t>
        </is>
      </c>
      <c r="I506" t="inlineStr"/>
      <c r="J506" t="b">
        <v>0</v>
      </c>
      <c r="K506" t="inlineStr"/>
      <c r="L506" t="inlineStr">
        <is>
          <t>Hamster traction rope</t>
        </is>
      </c>
      <c r="M506" t="inlineStr"/>
    </row>
    <row r="507">
      <c r="A507">
        <f>IMAGE("https://http2.mlstatic.com/D_NQ_NP_614056-MLM108851319010_032026-F.webp")</f>
        <v/>
      </c>
      <c r="B507" t="inlineStr">
        <is>
          <t>https://http2.mlstatic.com/D_NQ_NP_614056-MLM108851319010_032026-F.webp</t>
        </is>
      </c>
      <c r="C507" t="inlineStr">
        <is>
          <t>N-random</t>
        </is>
      </c>
      <c r="D507" t="b">
        <v>0</v>
      </c>
      <c r="E507" t="b">
        <v>0</v>
      </c>
      <c r="F507" t="inlineStr">
        <is>
          <t>none</t>
        </is>
      </c>
      <c r="G507" t="inlineStr"/>
      <c r="H507" t="inlineStr">
        <is>
          <t>low</t>
        </is>
      </c>
      <c r="I507" t="inlineStr"/>
      <c r="J507" t="b">
        <v>0</v>
      </c>
      <c r="K507" t="inlineStr"/>
      <c r="L507" t="inlineStr">
        <is>
          <t>CPL
ND8
ND16
ND32</t>
        </is>
      </c>
      <c r="M507" t="inlineStr"/>
    </row>
    <row r="508">
      <c r="A508">
        <f>IMAGE("https://http2.mlstatic.com/D_NQ_NP_777650-CBT80824661324_122024-F.webp")</f>
        <v/>
      </c>
      <c r="B508" t="inlineStr">
        <is>
          <t>https://http2.mlstatic.com/D_NQ_NP_777650-CBT80824661324_122024-F.webp</t>
        </is>
      </c>
      <c r="C508" t="inlineStr">
        <is>
          <t>N-random</t>
        </is>
      </c>
      <c r="D508" t="b">
        <v>0</v>
      </c>
      <c r="E508" t="b">
        <v>0</v>
      </c>
      <c r="F508" t="inlineStr">
        <is>
          <t>none</t>
        </is>
      </c>
      <c r="G508" t="inlineStr"/>
      <c r="H508" t="inlineStr">
        <is>
          <t>low</t>
        </is>
      </c>
      <c r="I508" t="inlineStr"/>
      <c r="J508" t="b">
        <v>0</v>
      </c>
      <c r="K508" t="inlineStr"/>
      <c r="L508" t="inlineStr">
        <is>
          <t>er
D
チェンソーマン
CHAINSAW MAN
ENG
197
EDA
ΠΡΗΣ
LIM
EDIT</t>
        </is>
      </c>
      <c r="M508" t="inlineStr"/>
    </row>
    <row r="509">
      <c r="A509">
        <f>IMAGE("https://http2.mlstatic.com/D_NQ_NP_674350-CBT112494111864_062026-F.webp")</f>
        <v/>
      </c>
      <c r="B509" t="inlineStr">
        <is>
          <t>https://http2.mlstatic.com/D_NQ_NP_674350-CBT112494111864_062026-F.webp</t>
        </is>
      </c>
      <c r="C509" t="inlineStr">
        <is>
          <t>N-random</t>
        </is>
      </c>
      <c r="D509" t="b">
        <v>0</v>
      </c>
      <c r="E509" t="b">
        <v>0</v>
      </c>
      <c r="F509" t="inlineStr">
        <is>
          <t>none</t>
        </is>
      </c>
      <c r="G509" t="inlineStr"/>
      <c r="H509" t="inlineStr">
        <is>
          <t>low</t>
        </is>
      </c>
      <c r="I509" t="inlineStr"/>
      <c r="J509" t="b">
        <v>0</v>
      </c>
      <c r="K509" t="inlineStr"/>
      <c r="L509" t="inlineStr"/>
      <c r="M509" t="inlineStr"/>
    </row>
    <row r="510">
      <c r="A510">
        <f>IMAGE("https://http2.mlstatic.com/D_NQ_NP_986387-CBT91772521560_092025-F.webp")</f>
        <v/>
      </c>
      <c r="B510" t="inlineStr">
        <is>
          <t>https://http2.mlstatic.com/D_NQ_NP_986387-CBT91772521560_092025-F.webp</t>
        </is>
      </c>
      <c r="C510" t="inlineStr">
        <is>
          <t>N-random</t>
        </is>
      </c>
      <c r="D510" t="b">
        <v>0</v>
      </c>
      <c r="E510" t="b">
        <v>0</v>
      </c>
      <c r="F510" t="inlineStr">
        <is>
          <t>none</t>
        </is>
      </c>
      <c r="G510" t="inlineStr"/>
      <c r="H510" t="inlineStr">
        <is>
          <t>low</t>
        </is>
      </c>
      <c r="I510" t="inlineStr"/>
      <c r="J510" t="b">
        <v>0</v>
      </c>
      <c r="K510" t="inlineStr"/>
      <c r="L510" t="inlineStr"/>
      <c r="M510" t="inlineStr"/>
    </row>
    <row r="511">
      <c r="A511">
        <f>IMAGE("https://http2.mlstatic.com/D_NQ_NP_872978-MCO113453877433_062026-F.webp")</f>
        <v/>
      </c>
      <c r="B511" t="inlineStr">
        <is>
          <t>https://http2.mlstatic.com/D_NQ_NP_872978-MCO113453877433_062026-F.webp</t>
        </is>
      </c>
      <c r="C511" t="inlineStr">
        <is>
          <t>N-random</t>
        </is>
      </c>
      <c r="D511" t="b">
        <v>0</v>
      </c>
      <c r="E511" t="b">
        <v>0</v>
      </c>
      <c r="F511" t="inlineStr">
        <is>
          <t>none</t>
        </is>
      </c>
      <c r="G511" t="inlineStr"/>
      <c r="H511" t="inlineStr">
        <is>
          <t>low</t>
        </is>
      </c>
      <c r="I511" t="inlineStr"/>
      <c r="J511" t="b">
        <v>0</v>
      </c>
      <c r="K511" t="inlineStr"/>
      <c r="L511" t="inlineStr">
        <is>
          <t>strong
comfort
soft</t>
        </is>
      </c>
      <c r="M511" t="inlineStr"/>
    </row>
    <row r="512">
      <c r="A512">
        <f>IMAGE("https://http2.mlstatic.com/D_NQ_NP_743539-CBT112476328954_062026-F.webp")</f>
        <v/>
      </c>
      <c r="B512" t="inlineStr">
        <is>
          <t>https://http2.mlstatic.com/D_NQ_NP_743539-CBT112476328954_062026-F.webp</t>
        </is>
      </c>
      <c r="C512" t="inlineStr">
        <is>
          <t>N-random</t>
        </is>
      </c>
      <c r="D512" t="b">
        <v>0</v>
      </c>
      <c r="E512" t="b">
        <v>0</v>
      </c>
      <c r="F512" t="inlineStr">
        <is>
          <t>none</t>
        </is>
      </c>
      <c r="G512" t="inlineStr"/>
      <c r="H512" t="inlineStr">
        <is>
          <t>low</t>
        </is>
      </c>
      <c r="I512" t="inlineStr"/>
      <c r="J512" t="b">
        <v>0</v>
      </c>
      <c r="K512" t="inlineStr"/>
      <c r="L512" t="inlineStr"/>
      <c r="M512" t="inlineStr"/>
    </row>
    <row r="513">
      <c r="A513">
        <f>IMAGE("https://http2.mlstatic.com/D_NQ_NP_683826-CBT111012002551_042026-F.webp")</f>
        <v/>
      </c>
      <c r="B513" t="inlineStr">
        <is>
          <t>https://http2.mlstatic.com/D_NQ_NP_683826-CBT111012002551_042026-F.webp</t>
        </is>
      </c>
      <c r="C513" t="inlineStr">
        <is>
          <t>N-random</t>
        </is>
      </c>
      <c r="D513" t="b">
        <v>0</v>
      </c>
      <c r="E513" t="b">
        <v>0</v>
      </c>
      <c r="F513" t="inlineStr">
        <is>
          <t>none</t>
        </is>
      </c>
      <c r="G513" t="inlineStr"/>
      <c r="H513" t="inlineStr">
        <is>
          <t>low</t>
        </is>
      </c>
      <c r="I513" t="inlineStr"/>
      <c r="J513" t="b">
        <v>0</v>
      </c>
      <c r="K513" t="inlineStr"/>
      <c r="L513" t="inlineStr"/>
      <c r="M513" t="inlineStr"/>
    </row>
    <row r="514">
      <c r="A514">
        <f>IMAGE("https://http2.mlstatic.com/D_NQ_NP_719099-CBT112415612580_062026-F.webp")</f>
        <v/>
      </c>
      <c r="B514" t="inlineStr">
        <is>
          <t>https://http2.mlstatic.com/D_NQ_NP_719099-CBT112415612580_062026-F.webp</t>
        </is>
      </c>
      <c r="C514" t="inlineStr">
        <is>
          <t>N-random</t>
        </is>
      </c>
      <c r="D514" t="b">
        <v>0</v>
      </c>
      <c r="E514" t="b">
        <v>0</v>
      </c>
      <c r="F514" t="inlineStr">
        <is>
          <t>none</t>
        </is>
      </c>
      <c r="G514" t="inlineStr">
        <is>
          <t>text overlay on the shirt</t>
        </is>
      </c>
      <c r="H514" t="inlineStr">
        <is>
          <t>medium</t>
        </is>
      </c>
      <c r="I514" t="b">
        <v>0</v>
      </c>
      <c r="J514" t="b">
        <v>0</v>
      </c>
      <c r="K514" t="inlineStr"/>
      <c r="L514" t="inlineStr">
        <is>
          <t>Above
&amp; Beyond</t>
        </is>
      </c>
      <c r="M514" t="inlineStr"/>
    </row>
    <row r="515">
      <c r="A515">
        <f>IMAGE("https://http2.mlstatic.com/D_NQ_NP_955350-CBT113602247395_062026-F.webp")</f>
        <v/>
      </c>
      <c r="B515" t="inlineStr">
        <is>
          <t>https://http2.mlstatic.com/D_NQ_NP_955350-CBT113602247395_062026-F.webp</t>
        </is>
      </c>
      <c r="C515" t="inlineStr">
        <is>
          <t>N-random</t>
        </is>
      </c>
      <c r="D515" t="b">
        <v>0</v>
      </c>
      <c r="E515" t="b">
        <v>0</v>
      </c>
      <c r="F515" t="inlineStr">
        <is>
          <t>none</t>
        </is>
      </c>
      <c r="G515" t="inlineStr"/>
      <c r="H515" t="inlineStr">
        <is>
          <t>low</t>
        </is>
      </c>
      <c r="I515" t="inlineStr"/>
      <c r="J515" t="b">
        <v>0</v>
      </c>
      <c r="K515" t="inlineStr"/>
      <c r="L515" t="inlineStr">
        <is>
          <t>IGNITION</t>
        </is>
      </c>
      <c r="M515" t="inlineStr"/>
    </row>
    <row r="516">
      <c r="A516">
        <f>IMAGE("https://http2.mlstatic.com/D_NQ_NP_841366-CBT112298439780_062026-F.webp")</f>
        <v/>
      </c>
      <c r="B516" t="inlineStr">
        <is>
          <t>https://http2.mlstatic.com/D_NQ_NP_841366-CBT112298439780_062026-F.webp</t>
        </is>
      </c>
      <c r="C516" t="inlineStr">
        <is>
          <t>N-random</t>
        </is>
      </c>
      <c r="D516" t="b">
        <v>0</v>
      </c>
      <c r="E516" t="b">
        <v>0</v>
      </c>
      <c r="F516" t="inlineStr">
        <is>
          <t>none</t>
        </is>
      </c>
      <c r="G516" t="inlineStr"/>
      <c r="H516" t="inlineStr">
        <is>
          <t>low</t>
        </is>
      </c>
      <c r="I516" t="inlineStr"/>
      <c r="J516" t="b">
        <v>0</v>
      </c>
      <c r="K516" t="inlineStr"/>
      <c r="L516" t="inlineStr"/>
      <c r="M516" t="inlineStr"/>
    </row>
    <row r="517">
      <c r="A517">
        <f>IMAGE("https://http2.mlstatic.com/D_NQ_NP_636386-CBT112422014684_062026-F.webp")</f>
        <v/>
      </c>
      <c r="B517" t="inlineStr">
        <is>
          <t>https://http2.mlstatic.com/D_NQ_NP_636386-CBT112422014684_062026-F.webp</t>
        </is>
      </c>
      <c r="C517" t="inlineStr">
        <is>
          <t>N-random</t>
        </is>
      </c>
      <c r="D517" t="b">
        <v>0</v>
      </c>
      <c r="E517" t="b">
        <v>0</v>
      </c>
      <c r="F517" t="inlineStr">
        <is>
          <t>none</t>
        </is>
      </c>
      <c r="G517" t="inlineStr"/>
      <c r="H517" t="inlineStr">
        <is>
          <t>low</t>
        </is>
      </c>
      <c r="I517" t="inlineStr"/>
      <c r="J517" t="b">
        <v>0</v>
      </c>
      <c r="K517" t="inlineStr"/>
      <c r="L517" t="inlineStr">
        <is>
          <t>WAS
WAS</t>
        </is>
      </c>
      <c r="M517" t="inlineStr"/>
    </row>
    <row r="518">
      <c r="A518">
        <f>IMAGE("https://http2.mlstatic.com/D_NQ_NP_970707-CBT112190790814_062026-F.webp")</f>
        <v/>
      </c>
      <c r="B518" t="inlineStr">
        <is>
          <t>https://http2.mlstatic.com/D_NQ_NP_970707-CBT112190790814_062026-F.webp</t>
        </is>
      </c>
      <c r="C518" t="inlineStr">
        <is>
          <t>N-random</t>
        </is>
      </c>
      <c r="D518" t="b">
        <v>0</v>
      </c>
      <c r="E518" t="b">
        <v>0</v>
      </c>
      <c r="F518" t="inlineStr">
        <is>
          <t>none</t>
        </is>
      </c>
      <c r="G518" t="inlineStr"/>
      <c r="H518" t="inlineStr">
        <is>
          <t>low</t>
        </is>
      </c>
      <c r="I518" t="inlineStr"/>
      <c r="J518" t="b">
        <v>0</v>
      </c>
      <c r="K518" t="inlineStr"/>
      <c r="L518" t="inlineStr">
        <is>
          <t>ANGL</t>
        </is>
      </c>
      <c r="M518" t="inlineStr"/>
    </row>
    <row r="519">
      <c r="A519">
        <f>IMAGE("https://http2.mlstatic.com/D_NQ_NP_786193-CBT51645610000_092022-F.webp")</f>
        <v/>
      </c>
      <c r="B519" t="inlineStr">
        <is>
          <t>https://http2.mlstatic.com/D_NQ_NP_786193-CBT51645610000_092022-F.webp</t>
        </is>
      </c>
      <c r="C519" t="inlineStr">
        <is>
          <t>N-random</t>
        </is>
      </c>
      <c r="D519" t="b">
        <v>0</v>
      </c>
      <c r="E519" t="b">
        <v>0</v>
      </c>
      <c r="F519" t="inlineStr">
        <is>
          <t>none</t>
        </is>
      </c>
      <c r="G519" t="inlineStr"/>
      <c r="H519" t="inlineStr">
        <is>
          <t>low</t>
        </is>
      </c>
      <c r="I519" t="inlineStr"/>
      <c r="J519" t="b">
        <v>0</v>
      </c>
      <c r="K519" t="inlineStr"/>
      <c r="L519" t="inlineStr">
        <is>
          <t>posición de
Attention: Centrale 2.
media se
a
después
de
2.5
vueltas
de
la
p
le
2.5
tours
de
la
butée
de
l'unité
de
contact.
tion: Befor
the Contact unit
n. La pos
Atentión. La
and ensurech
chtung: Monta
Itellacct unit is in the cent
Umdrehungen von</t>
        </is>
      </c>
      <c r="M519" t="inlineStr"/>
    </row>
    <row r="520">
      <c r="A520">
        <f>IMAGE("https://http2.mlstatic.com/D_NQ_NP_857149-CBT112272318708_062026-F.webp")</f>
        <v/>
      </c>
      <c r="B520" t="inlineStr">
        <is>
          <t>https://http2.mlstatic.com/D_NQ_NP_857149-CBT112272318708_062026-F.webp</t>
        </is>
      </c>
      <c r="C520" t="inlineStr">
        <is>
          <t>N-random</t>
        </is>
      </c>
      <c r="D520" t="b">
        <v>0</v>
      </c>
      <c r="E520" t="b">
        <v>0</v>
      </c>
      <c r="F520" t="inlineStr">
        <is>
          <t>none</t>
        </is>
      </c>
      <c r="G520" t="inlineStr"/>
      <c r="H520" t="inlineStr">
        <is>
          <t>low</t>
        </is>
      </c>
      <c r="I520" t="inlineStr"/>
      <c r="J520" t="b">
        <v>0</v>
      </c>
      <c r="K520" t="inlineStr"/>
      <c r="L520" t="inlineStr">
        <is>
          <t>2D FLAT PRINTING</t>
        </is>
      </c>
      <c r="M520" t="inlineStr"/>
    </row>
    <row r="521">
      <c r="A521">
        <f>IMAGE("https://http2.mlstatic.com/D_NQ_NP_894230-MLM113386465251_062026-F.webp")</f>
        <v/>
      </c>
      <c r="B521" t="inlineStr">
        <is>
          <t>https://http2.mlstatic.com/D_NQ_NP_894230-MLM113386465251_062026-F.webp</t>
        </is>
      </c>
      <c r="C521" t="inlineStr">
        <is>
          <t>N-random</t>
        </is>
      </c>
      <c r="D521" t="b">
        <v>0</v>
      </c>
      <c r="E521" t="b">
        <v>0</v>
      </c>
      <c r="F521" t="inlineStr">
        <is>
          <t>none</t>
        </is>
      </c>
      <c r="G521" t="inlineStr"/>
      <c r="H521" t="inlineStr">
        <is>
          <t>low</t>
        </is>
      </c>
      <c r="I521" t="inlineStr"/>
      <c r="J521" t="b">
        <v>0</v>
      </c>
      <c r="K521" t="inlineStr"/>
      <c r="L521" t="inlineStr"/>
      <c r="M521" t="inlineStr"/>
    </row>
    <row r="522">
      <c r="A522">
        <f>IMAGE("https://http2.mlstatic.com/D_NQ_NP_619568-CBT107594858461_022026-F.webp")</f>
        <v/>
      </c>
      <c r="B522" t="inlineStr">
        <is>
          <t>https://http2.mlstatic.com/D_NQ_NP_619568-CBT107594858461_022026-F.webp</t>
        </is>
      </c>
      <c r="C522" t="inlineStr">
        <is>
          <t>N-random</t>
        </is>
      </c>
      <c r="D522" t="b">
        <v>0</v>
      </c>
      <c r="E522" t="b">
        <v>0</v>
      </c>
      <c r="F522" t="inlineStr">
        <is>
          <t>none</t>
        </is>
      </c>
      <c r="G522" t="inlineStr"/>
      <c r="H522" t="inlineStr">
        <is>
          <t>low</t>
        </is>
      </c>
      <c r="I522" t="inlineStr"/>
      <c r="J522" t="b">
        <v>0</v>
      </c>
      <c r="K522" t="inlineStr"/>
      <c r="L522" t="inlineStr">
        <is>
          <t>Green
10PCS</t>
        </is>
      </c>
      <c r="M522" t="inlineStr"/>
    </row>
    <row r="523">
      <c r="A523">
        <f>IMAGE("https://http2.mlstatic.com/D_NQ_NP_835726-MLB110267060258_052026-F.webp")</f>
        <v/>
      </c>
      <c r="B523" t="inlineStr">
        <is>
          <t>https://http2.mlstatic.com/D_NQ_NP_835726-MLB110267060258_052026-F.webp</t>
        </is>
      </c>
      <c r="C523" t="inlineStr">
        <is>
          <t>N-random</t>
        </is>
      </c>
      <c r="D523" t="b">
        <v>0</v>
      </c>
      <c r="E523" t="b">
        <v>0</v>
      </c>
      <c r="F523" t="inlineStr">
        <is>
          <t>none</t>
        </is>
      </c>
      <c r="G523" t="inlineStr"/>
      <c r="H523" t="inlineStr">
        <is>
          <t>low</t>
        </is>
      </c>
      <c r="I523" t="inlineStr"/>
      <c r="J523" t="b">
        <v>0</v>
      </c>
      <c r="K523" t="inlineStr"/>
      <c r="L523" t="inlineStr"/>
      <c r="M523" t="inlineStr"/>
    </row>
    <row r="524">
      <c r="A524">
        <f>IMAGE("https://http2.mlstatic.com/D_NQ_NP_875137-CBT113607131181_062026-F.webp")</f>
        <v/>
      </c>
      <c r="B524" t="inlineStr">
        <is>
          <t>https://http2.mlstatic.com/D_NQ_NP_875137-CBT113607131181_062026-F.webp</t>
        </is>
      </c>
      <c r="C524" t="inlineStr">
        <is>
          <t>N-random</t>
        </is>
      </c>
      <c r="D524" t="b">
        <v>0</v>
      </c>
      <c r="E524" t="b">
        <v>0</v>
      </c>
      <c r="F524" t="inlineStr">
        <is>
          <t>none</t>
        </is>
      </c>
      <c r="G524" t="inlineStr"/>
      <c r="H524" t="inlineStr">
        <is>
          <t>low</t>
        </is>
      </c>
      <c r="I524" t="inlineStr"/>
      <c r="J524" t="b">
        <v>0</v>
      </c>
      <c r="K524" t="inlineStr"/>
      <c r="L524" t="inlineStr">
        <is>
          <t>We Can Do It!
WAR PRODUCTION CO-ORDINATING COMMITTEE</t>
        </is>
      </c>
      <c r="M524" t="inlineStr"/>
    </row>
    <row r="525">
      <c r="A525">
        <f>IMAGE("https://http2.mlstatic.com/D_NQ_NP_858866-CBT113514525283_062026-F.webp")</f>
        <v/>
      </c>
      <c r="B525" t="inlineStr">
        <is>
          <t>https://http2.mlstatic.com/D_NQ_NP_858866-CBT113514525283_062026-F.webp</t>
        </is>
      </c>
      <c r="C525" t="inlineStr">
        <is>
          <t>N-random</t>
        </is>
      </c>
      <c r="D525" t="b">
        <v>0</v>
      </c>
      <c r="E525" t="b">
        <v>0</v>
      </c>
      <c r="F525" t="inlineStr">
        <is>
          <t>none</t>
        </is>
      </c>
      <c r="G525" t="inlineStr"/>
      <c r="H525" t="inlineStr">
        <is>
          <t>low</t>
        </is>
      </c>
      <c r="I525" t="b">
        <v>0</v>
      </c>
      <c r="J525" t="b">
        <v>0</v>
      </c>
      <c r="K525" t="inlineStr"/>
      <c r="L525" t="inlineStr"/>
      <c r="M525" t="inlineStr"/>
    </row>
    <row r="526">
      <c r="A526">
        <f>IMAGE("https://http2.mlstatic.com/D_NQ_NP_728347-CBT113539114037_062026-F.webp")</f>
        <v/>
      </c>
      <c r="B526" t="inlineStr">
        <is>
          <t>https://http2.mlstatic.com/D_NQ_NP_728347-CBT113539114037_062026-F.webp</t>
        </is>
      </c>
      <c r="C526" t="inlineStr">
        <is>
          <t>N-random</t>
        </is>
      </c>
      <c r="D526" t="b">
        <v>0</v>
      </c>
      <c r="E526" t="b">
        <v>0</v>
      </c>
      <c r="F526" t="inlineStr">
        <is>
          <t>none</t>
        </is>
      </c>
      <c r="G526" t="inlineStr"/>
      <c r="H526" t="inlineStr">
        <is>
          <t>low</t>
        </is>
      </c>
      <c r="I526" t="inlineStr"/>
      <c r="J526" t="b">
        <v>0</v>
      </c>
      <c r="K526" t="inlineStr"/>
      <c r="L526" t="inlineStr">
        <is>
          <t>m</t>
        </is>
      </c>
      <c r="M526" t="inlineStr"/>
    </row>
    <row r="527">
      <c r="A527">
        <f>IMAGE("https://http2.mlstatic.com/D_NQ_NP_625532-CBT112470630694_062026-F.webp")</f>
        <v/>
      </c>
      <c r="B527" t="inlineStr">
        <is>
          <t>https://http2.mlstatic.com/D_NQ_NP_625532-CBT112470630694_062026-F.webp</t>
        </is>
      </c>
      <c r="C527" t="inlineStr">
        <is>
          <t>N-random</t>
        </is>
      </c>
      <c r="D527" t="b">
        <v>0</v>
      </c>
      <c r="E527" t="b">
        <v>1</v>
      </c>
      <c r="F527" t="inlineStr">
        <is>
          <t>badge</t>
        </is>
      </c>
      <c r="G527" t="inlineStr">
        <is>
          <t>Mas vendido</t>
        </is>
      </c>
      <c r="H527" t="inlineStr">
        <is>
          <t>medium</t>
        </is>
      </c>
      <c r="I527" t="b">
        <v>0</v>
      </c>
      <c r="J527" t="b">
        <v>0</v>
      </c>
      <c r="K527" t="inlineStr"/>
      <c r="L527" t="inlineStr">
        <is>
          <t>PUNCH
STIM FREE
WORKOUT
FULL
AF
OVERDOSED
NITRIC OXIDE
BOOSTER
Rich Pian
5%
NUTRITION
ET WT. 370G (13.05oz) 20 SERVINGS DIETARY SUPPLEMENT</t>
        </is>
      </c>
      <c r="M527" t="inlineStr"/>
    </row>
    <row r="528">
      <c r="A528">
        <f>IMAGE("https://http2.mlstatic.com/D_NQ_NP_898041-MLB112454050792_062026-F.webp")</f>
        <v/>
      </c>
      <c r="B528" t="inlineStr">
        <is>
          <t>https://http2.mlstatic.com/D_NQ_NP_898041-MLB112454050792_062026-F.webp</t>
        </is>
      </c>
      <c r="C528" t="inlineStr">
        <is>
          <t>N-random</t>
        </is>
      </c>
      <c r="D528" t="b">
        <v>0</v>
      </c>
      <c r="E528" t="b">
        <v>0</v>
      </c>
      <c r="F528" t="inlineStr">
        <is>
          <t>none</t>
        </is>
      </c>
      <c r="G528" t="inlineStr"/>
      <c r="H528" t="inlineStr">
        <is>
          <t>low</t>
        </is>
      </c>
      <c r="I528" t="inlineStr"/>
      <c r="J528" t="b">
        <v>0</v>
      </c>
      <c r="K528" t="inlineStr"/>
      <c r="L528" t="inlineStr">
        <is>
          <t>FECHAR
11/11
6794
ABRIR</t>
        </is>
      </c>
      <c r="M528" t="inlineStr"/>
    </row>
    <row r="529">
      <c r="A529">
        <f>IMAGE("https://http2.mlstatic.com/D_NQ_NP_850127-CBT112498844152_062026-F.webp")</f>
        <v/>
      </c>
      <c r="B529" t="inlineStr">
        <is>
          <t>https://http2.mlstatic.com/D_NQ_NP_850127-CBT112498844152_062026-F.webp</t>
        </is>
      </c>
      <c r="C529" t="inlineStr">
        <is>
          <t>N-random</t>
        </is>
      </c>
      <c r="D529" t="b">
        <v>0</v>
      </c>
      <c r="E529" t="b">
        <v>0</v>
      </c>
      <c r="F529" t="inlineStr">
        <is>
          <t>none</t>
        </is>
      </c>
      <c r="G529" t="inlineStr"/>
      <c r="H529" t="inlineStr">
        <is>
          <t>low</t>
        </is>
      </c>
      <c r="I529" t="b">
        <v>0</v>
      </c>
      <c r="J529" t="b">
        <v>0</v>
      </c>
      <c r="K529" t="inlineStr"/>
      <c r="L529" t="inlineStr"/>
      <c r="M529" t="inlineStr"/>
    </row>
    <row r="530">
      <c r="A530">
        <f>IMAGE("https://http2.mlstatic.com/D_NQ_NP_793187-CBT108630013011_032026-F.webp")</f>
        <v/>
      </c>
      <c r="B530" t="inlineStr">
        <is>
          <t>https://http2.mlstatic.com/D_NQ_NP_793187-CBT108630013011_032026-F.webp</t>
        </is>
      </c>
      <c r="C530" t="inlineStr">
        <is>
          <t>N-random</t>
        </is>
      </c>
      <c r="D530" t="b">
        <v>0</v>
      </c>
      <c r="E530" t="b">
        <v>0</v>
      </c>
      <c r="F530" t="inlineStr">
        <is>
          <t>none</t>
        </is>
      </c>
      <c r="G530" t="inlineStr"/>
      <c r="H530" t="inlineStr">
        <is>
          <t>low</t>
        </is>
      </c>
      <c r="I530" t="b">
        <v>0</v>
      </c>
      <c r="J530" t="b">
        <v>0</v>
      </c>
      <c r="K530" t="inlineStr"/>
      <c r="L530" t="inlineStr"/>
      <c r="M530" t="inlineStr"/>
    </row>
    <row r="531">
      <c r="A531">
        <f>IMAGE("https://http2.mlstatic.com/D_NQ_NP_638849-CBT107489892138_032026-F.webp")</f>
        <v/>
      </c>
      <c r="B531" t="inlineStr">
        <is>
          <t>https://http2.mlstatic.com/D_NQ_NP_638849-CBT107489892138_032026-F.webp</t>
        </is>
      </c>
      <c r="C531" t="inlineStr">
        <is>
          <t>N-random</t>
        </is>
      </c>
      <c r="D531" t="b">
        <v>0</v>
      </c>
      <c r="E531" t="b">
        <v>1</v>
      </c>
      <c r="F531" t="inlineStr">
        <is>
          <t>badge</t>
        </is>
      </c>
      <c r="G531" t="inlineStr">
        <is>
          <t>un sello con texto como 'Recomendado'</t>
        </is>
      </c>
      <c r="H531" t="inlineStr">
        <is>
          <t>medium</t>
        </is>
      </c>
      <c r="I531" t="b">
        <v>0</v>
      </c>
      <c r="J531" t="b">
        <v>0</v>
      </c>
      <c r="K531" t="inlineStr"/>
      <c r="L531" t="inlineStr">
        <is>
          <t>犯罪 | ドラマ | 神秘
rucking lotten
WELCOME
TWIN PEAKS
誰もがお互いを知っていて、何も表示されない村
特異なFBIエージェントが、さらに特異な
であるツインピークスでの若い女性の殺害を調査します
TWIN PEAKS
ピクス
によって作成された
DAVID LYNCH &amp; MARK FROST</t>
        </is>
      </c>
      <c r="M531" t="inlineStr"/>
    </row>
    <row r="532">
      <c r="A532">
        <f>IMAGE("https://http2.mlstatic.com/D_NQ_NP_954524-MLM113362441701_062026-F.webp")</f>
        <v/>
      </c>
      <c r="B532" t="inlineStr">
        <is>
          <t>https://http2.mlstatic.com/D_NQ_NP_954524-MLM113362441701_062026-F.webp</t>
        </is>
      </c>
      <c r="C532" t="inlineStr">
        <is>
          <t>N-random</t>
        </is>
      </c>
      <c r="D532" t="b">
        <v>0</v>
      </c>
      <c r="E532" t="b">
        <v>0</v>
      </c>
      <c r="F532" t="inlineStr">
        <is>
          <t>none</t>
        </is>
      </c>
      <c r="G532" t="inlineStr"/>
      <c r="H532" t="inlineStr">
        <is>
          <t>low</t>
        </is>
      </c>
      <c r="I532" t="inlineStr"/>
      <c r="J532" t="b">
        <v>0</v>
      </c>
      <c r="K532" t="inlineStr"/>
      <c r="L532" t="inlineStr">
        <is>
          <t>N</t>
        </is>
      </c>
      <c r="M532" t="inlineStr"/>
    </row>
    <row r="533">
      <c r="A533">
        <f>IMAGE("https://http2.mlstatic.com/D_NQ_NP_953811-MLA99856395447_112025-F.webp")</f>
        <v/>
      </c>
      <c r="B533" t="inlineStr">
        <is>
          <t>https://http2.mlstatic.com/D_NQ_NP_953811-MLA99856395447_112025-F.webp</t>
        </is>
      </c>
      <c r="C533" t="inlineStr">
        <is>
          <t>N-random</t>
        </is>
      </c>
      <c r="D533" t="b">
        <v>0</v>
      </c>
      <c r="E533" t="b">
        <v>0</v>
      </c>
      <c r="F533" t="inlineStr">
        <is>
          <t>none</t>
        </is>
      </c>
      <c r="G533" t="inlineStr"/>
      <c r="H533" t="inlineStr">
        <is>
          <t>low</t>
        </is>
      </c>
      <c r="I533" t="inlineStr"/>
      <c r="J533" t="b">
        <v>0</v>
      </c>
      <c r="K533" t="inlineStr"/>
      <c r="L533" t="inlineStr">
        <is>
          <t>194
RI
JM4
D10
+
D9
+
D8
J28
+
0100
M2 COFF
855NFOG
KOR
RESUFGE
HW24K
KOR
POWER
01
WSK220ND
J27
157
AUX-1
6
03.</t>
        </is>
      </c>
      <c r="M533" t="inlineStr"/>
    </row>
    <row r="534">
      <c r="A534">
        <f>IMAGE("https://http2.mlstatic.com/D_NQ_NP_915339-CBT112417288208_062026-F.webp")</f>
        <v/>
      </c>
      <c r="B534" t="inlineStr">
        <is>
          <t>https://http2.mlstatic.com/D_NQ_NP_915339-CBT112417288208_062026-F.webp</t>
        </is>
      </c>
      <c r="C534" t="inlineStr">
        <is>
          <t>N-random</t>
        </is>
      </c>
      <c r="D534" t="b">
        <v>0</v>
      </c>
      <c r="E534" t="b">
        <v>0</v>
      </c>
      <c r="F534" t="inlineStr">
        <is>
          <t>none</t>
        </is>
      </c>
      <c r="G534" t="inlineStr"/>
      <c r="H534" t="inlineStr">
        <is>
          <t>low</t>
        </is>
      </c>
      <c r="I534" t="inlineStr"/>
      <c r="J534" t="b">
        <v>0</v>
      </c>
      <c r="K534" t="inlineStr"/>
      <c r="L534" t="inlineStr"/>
      <c r="M534" t="inlineStr"/>
    </row>
    <row r="535">
      <c r="A535">
        <f>IMAGE("https://http2.mlstatic.com/D_NQ_NP_859730-MLM87099953905_072025-F.webp")</f>
        <v/>
      </c>
      <c r="B535" t="inlineStr">
        <is>
          <t>https://http2.mlstatic.com/D_NQ_NP_859730-MLM87099953905_072025-F.webp</t>
        </is>
      </c>
      <c r="C535" t="inlineStr">
        <is>
          <t>N-random</t>
        </is>
      </c>
      <c r="D535" t="b">
        <v>0</v>
      </c>
      <c r="E535" t="b">
        <v>0</v>
      </c>
      <c r="F535" t="inlineStr">
        <is>
          <t>none</t>
        </is>
      </c>
      <c r="G535" t="inlineStr"/>
      <c r="H535" t="inlineStr">
        <is>
          <t>low</t>
        </is>
      </c>
      <c r="I535" t="b">
        <v>0</v>
      </c>
      <c r="J535" t="b">
        <v>0</v>
      </c>
      <c r="K535" t="inlineStr"/>
      <c r="L535" t="inlineStr"/>
      <c r="M535" t="inlineStr"/>
    </row>
    <row r="536">
      <c r="A536">
        <f>IMAGE("https://http2.mlstatic.com/D_NQ_NP_892135-MLB46951870396_082021-F.webp")</f>
        <v/>
      </c>
      <c r="B536" t="inlineStr">
        <is>
          <t>https://http2.mlstatic.com/D_NQ_NP_892135-MLB46951870396_082021-F.webp</t>
        </is>
      </c>
      <c r="C536" t="inlineStr">
        <is>
          <t>N-random</t>
        </is>
      </c>
      <c r="D536" t="b">
        <v>0</v>
      </c>
      <c r="E536" t="b">
        <v>0</v>
      </c>
      <c r="F536" t="inlineStr">
        <is>
          <t>none</t>
        </is>
      </c>
      <c r="G536" t="inlineStr"/>
      <c r="H536" t="inlineStr">
        <is>
          <t>low</t>
        </is>
      </c>
      <c r="I536" t="inlineStr"/>
      <c r="J536" t="b">
        <v>0</v>
      </c>
      <c r="K536" t="inlineStr"/>
      <c r="L536" t="inlineStr">
        <is>
          <t xml:space="preserve">A T313
A 1313
</t>
        </is>
      </c>
      <c r="M536" t="inlineStr"/>
    </row>
    <row r="537">
      <c r="A537">
        <f>IMAGE("https://http2.mlstatic.com/D_NQ_NP_818643-CBT95377586159_102025-F.webp")</f>
        <v/>
      </c>
      <c r="B537" t="inlineStr">
        <is>
          <t>https://http2.mlstatic.com/D_NQ_NP_818643-CBT95377586159_102025-F.webp</t>
        </is>
      </c>
      <c r="C537" t="inlineStr">
        <is>
          <t>N-random</t>
        </is>
      </c>
      <c r="D537" t="b">
        <v>0</v>
      </c>
      <c r="E537" t="b">
        <v>0</v>
      </c>
      <c r="F537" t="inlineStr">
        <is>
          <t>none</t>
        </is>
      </c>
      <c r="G537" t="inlineStr"/>
      <c r="H537" t="inlineStr">
        <is>
          <t>low</t>
        </is>
      </c>
      <c r="I537" t="inlineStr"/>
      <c r="J537" t="b">
        <v>0</v>
      </c>
      <c r="K537" t="inlineStr"/>
      <c r="L537" t="inlineStr">
        <is>
          <t>2
C
Photo Contrast
ויוי/-/-/-ויויויויויןיןיןיויויויוי/י/ידיויויןיויויויויויויויויןיד
| * * * * * |- | י |- |- - |- |- -*******
Photo Contrast
trager O
0:
G
2
Photo Contrast
7
n
り
וייין
Photo Contrast
ויזיוידיויויויוידיויויויויוי ! **********:* ויי וייוייוייוי:
2
0:
0
8
5
0
C
Photo Colla
14**J{
Pho</t>
        </is>
      </c>
      <c r="M537" t="inlineStr"/>
    </row>
    <row r="538">
      <c r="A538">
        <f>IMAGE("https://http2.mlstatic.com/D_NQ_NP_929383-CBT113357870869_062026-F.webp")</f>
        <v/>
      </c>
      <c r="B538" t="inlineStr">
        <is>
          <t>https://http2.mlstatic.com/D_NQ_NP_929383-CBT113357870869_062026-F.webp</t>
        </is>
      </c>
      <c r="C538" t="inlineStr">
        <is>
          <t>N-random</t>
        </is>
      </c>
      <c r="D538" t="b">
        <v>0</v>
      </c>
      <c r="E538" t="b">
        <v>0</v>
      </c>
      <c r="F538" t="inlineStr">
        <is>
          <t>none</t>
        </is>
      </c>
      <c r="G538" t="inlineStr"/>
      <c r="H538" t="inlineStr">
        <is>
          <t>low</t>
        </is>
      </c>
      <c r="I538" t="inlineStr"/>
      <c r="J538" t="b">
        <v>0</v>
      </c>
      <c r="K538" t="inlineStr"/>
      <c r="L538" t="inlineStr">
        <is>
          <t>方简介
maod/our
maoc/our®
乌市与忻电子商务商行( 个</t>
        </is>
      </c>
      <c r="M538" t="inlineStr"/>
    </row>
    <row r="539">
      <c r="A539">
        <f>IMAGE("https://http2.mlstatic.com/D_NQ_NP_992734-CBT113402006047_062026-F.webp")</f>
        <v/>
      </c>
      <c r="B539" t="inlineStr">
        <is>
          <t>https://http2.mlstatic.com/D_NQ_NP_992734-CBT113402006047_062026-F.webp</t>
        </is>
      </c>
      <c r="C539" t="inlineStr">
        <is>
          <t>N-random</t>
        </is>
      </c>
      <c r="D539" t="b">
        <v>0</v>
      </c>
      <c r="E539" t="b">
        <v>0</v>
      </c>
      <c r="F539" t="inlineStr">
        <is>
          <t>none</t>
        </is>
      </c>
      <c r="G539" t="inlineStr"/>
      <c r="H539" t="inlineStr">
        <is>
          <t>low</t>
        </is>
      </c>
      <c r="I539" t="b">
        <v>0</v>
      </c>
      <c r="J539" t="b">
        <v>0</v>
      </c>
      <c r="K539" t="inlineStr"/>
      <c r="L539" t="inlineStr">
        <is>
          <t>ACREATE COMFORTABLE HOME FOR
UBAKA
ng
Tai Goriot
Tai C
G
C'</t>
        </is>
      </c>
      <c r="M539" t="inlineStr"/>
    </row>
    <row r="540">
      <c r="A540">
        <f>IMAGE("https://http2.mlstatic.com/D_NQ_NP_751901-CBT72705820352_112023-F.webp")</f>
        <v/>
      </c>
      <c r="B540" t="inlineStr">
        <is>
          <t>https://http2.mlstatic.com/D_NQ_NP_751901-CBT72705820352_112023-F.webp</t>
        </is>
      </c>
      <c r="C540" t="inlineStr">
        <is>
          <t>N-random</t>
        </is>
      </c>
      <c r="D540" t="b">
        <v>0</v>
      </c>
      <c r="E540" t="b">
        <v>0</v>
      </c>
      <c r="F540" t="inlineStr">
        <is>
          <t>none</t>
        </is>
      </c>
      <c r="G540" t="inlineStr"/>
      <c r="H540" t="inlineStr">
        <is>
          <t>low</t>
        </is>
      </c>
      <c r="I540" t="inlineStr"/>
      <c r="J540" t="b">
        <v>0</v>
      </c>
      <c r="K540" t="inlineStr"/>
      <c r="L540" t="inlineStr">
        <is>
          <t>ROCOMBAT PRO</t>
        </is>
      </c>
      <c r="M540" t="inlineStr"/>
    </row>
    <row r="541">
      <c r="A541">
        <f>IMAGE("https://http2.mlstatic.com/D_NQ_NP_633847-CBT112321960544_062026-F.webp")</f>
        <v/>
      </c>
      <c r="B541" t="inlineStr">
        <is>
          <t>https://http2.mlstatic.com/D_NQ_NP_633847-CBT112321960544_062026-F.webp</t>
        </is>
      </c>
      <c r="C541" t="inlineStr">
        <is>
          <t>N-random</t>
        </is>
      </c>
      <c r="D541" t="b">
        <v>0</v>
      </c>
      <c r="E541" t="b">
        <v>0</v>
      </c>
      <c r="F541" t="inlineStr">
        <is>
          <t>none</t>
        </is>
      </c>
      <c r="G541" t="inlineStr"/>
      <c r="H541" t="inlineStr">
        <is>
          <t>low</t>
        </is>
      </c>
      <c r="I541" t="inlineStr"/>
      <c r="J541" t="b">
        <v>0</v>
      </c>
      <c r="K541" t="inlineStr"/>
      <c r="L541" t="inlineStr">
        <is>
          <t>洞</t>
        </is>
      </c>
      <c r="M541" t="inlineStr"/>
    </row>
    <row r="542">
      <c r="A542">
        <f>IMAGE("https://http2.mlstatic.com/D_NQ_NP_989739-MLM112376430436_062026-F.webp")</f>
        <v/>
      </c>
      <c r="B542" t="inlineStr">
        <is>
          <t>https://http2.mlstatic.com/D_NQ_NP_989739-MLM112376430436_062026-F.webp</t>
        </is>
      </c>
      <c r="C542" t="inlineStr">
        <is>
          <t>N-random</t>
        </is>
      </c>
      <c r="D542" t="b">
        <v>0</v>
      </c>
      <c r="E542" t="b">
        <v>0</v>
      </c>
      <c r="F542" t="inlineStr">
        <is>
          <t>none</t>
        </is>
      </c>
      <c r="G542" t="inlineStr"/>
      <c r="H542" t="inlineStr">
        <is>
          <t>low</t>
        </is>
      </c>
      <c r="I542" t="inlineStr"/>
      <c r="J542" t="b">
        <v>0</v>
      </c>
      <c r="K542" t="inlineStr"/>
      <c r="L542" t="inlineStr"/>
      <c r="M542" t="inlineStr"/>
    </row>
    <row r="543">
      <c r="A543">
        <f>IMAGE("https://http2.mlstatic.com/D_NQ_NP_846173-CBT112397587420_062026-F.webp")</f>
        <v/>
      </c>
      <c r="B543" t="inlineStr">
        <is>
          <t>https://http2.mlstatic.com/D_NQ_NP_846173-CBT112397587420_062026-F.webp</t>
        </is>
      </c>
      <c r="C543" t="inlineStr">
        <is>
          <t>N-random</t>
        </is>
      </c>
      <c r="D543" t="b">
        <v>0</v>
      </c>
      <c r="E543" t="b">
        <v>0</v>
      </c>
      <c r="F543" t="inlineStr">
        <is>
          <t>none</t>
        </is>
      </c>
      <c r="G543" t="inlineStr"/>
      <c r="H543" t="inlineStr">
        <is>
          <t>low</t>
        </is>
      </c>
      <c r="I543" t="b">
        <v>0</v>
      </c>
      <c r="J543" t="b">
        <v>0</v>
      </c>
      <c r="K543" t="inlineStr"/>
      <c r="L543" t="inlineStr"/>
      <c r="M543" t="inlineStr"/>
    </row>
    <row r="544">
      <c r="A544">
        <f>IMAGE("https://http2.mlstatic.com/D_NQ_NP_958043-CBT112392001154_062026-F.webp")</f>
        <v/>
      </c>
      <c r="B544" t="inlineStr">
        <is>
          <t>https://http2.mlstatic.com/D_NQ_NP_958043-CBT112392001154_062026-F.webp</t>
        </is>
      </c>
      <c r="C544" t="inlineStr">
        <is>
          <t>N-random</t>
        </is>
      </c>
      <c r="D544" t="b">
        <v>0</v>
      </c>
      <c r="E544" t="b">
        <v>0</v>
      </c>
      <c r="F544" t="inlineStr">
        <is>
          <t>none</t>
        </is>
      </c>
      <c r="G544" t="inlineStr"/>
      <c r="H544" t="inlineStr">
        <is>
          <t>low</t>
        </is>
      </c>
      <c r="I544" t="b">
        <v>0</v>
      </c>
      <c r="J544" t="b">
        <v>0</v>
      </c>
      <c r="K544" t="inlineStr"/>
      <c r="L544" t="inlineStr"/>
      <c r="M544" t="inlineStr"/>
    </row>
    <row r="545">
      <c r="A545">
        <f>IMAGE("https://http2.mlstatic.com/D_NQ_NP_660218-CBT113375149911_062026-F.webp")</f>
        <v/>
      </c>
      <c r="B545" t="inlineStr">
        <is>
          <t>https://http2.mlstatic.com/D_NQ_NP_660218-CBT113375149911_062026-F.webp</t>
        </is>
      </c>
      <c r="C545" t="inlineStr">
        <is>
          <t>N-random</t>
        </is>
      </c>
      <c r="D545" t="b">
        <v>0</v>
      </c>
      <c r="E545" t="b">
        <v>0</v>
      </c>
      <c r="F545" t="inlineStr">
        <is>
          <t>none</t>
        </is>
      </c>
      <c r="G545" t="inlineStr"/>
      <c r="H545" t="inlineStr">
        <is>
          <t>low</t>
        </is>
      </c>
      <c r="I545" t="inlineStr"/>
      <c r="J545" t="b">
        <v>0</v>
      </c>
      <c r="K545" t="inlineStr"/>
      <c r="L545" t="inlineStr">
        <is>
          <t>2D Flat</t>
        </is>
      </c>
      <c r="M545" t="inlineStr"/>
    </row>
    <row r="546">
      <c r="A546">
        <f>IMAGE("https://http2.mlstatic.com/D_NQ_NP_737682-CBT112415235766_062026-F.webp")</f>
        <v/>
      </c>
      <c r="B546" t="inlineStr">
        <is>
          <t>https://http2.mlstatic.com/D_NQ_NP_737682-CBT112415235766_062026-F.webp</t>
        </is>
      </c>
      <c r="C546" t="inlineStr">
        <is>
          <t>N-random</t>
        </is>
      </c>
      <c r="D546" t="b">
        <v>0</v>
      </c>
      <c r="E546" t="b">
        <v>0</v>
      </c>
      <c r="F546" t="inlineStr">
        <is>
          <t>none</t>
        </is>
      </c>
      <c r="G546" t="inlineStr"/>
      <c r="H546" t="inlineStr">
        <is>
          <t>low</t>
        </is>
      </c>
      <c r="I546" t="inlineStr"/>
      <c r="J546" t="b">
        <v>0</v>
      </c>
      <c r="K546" t="inlineStr"/>
      <c r="L546" t="inlineStr"/>
      <c r="M546" t="inlineStr"/>
    </row>
    <row r="547">
      <c r="A547">
        <f>IMAGE("https://http2.mlstatic.com/D_NQ_NP_948651-MLM46094421730_052021-F.webp")</f>
        <v/>
      </c>
      <c r="B547" t="inlineStr">
        <is>
          <t>https://http2.mlstatic.com/D_NQ_NP_948651-MLM46094421730_052021-F.webp</t>
        </is>
      </c>
      <c r="C547" t="inlineStr">
        <is>
          <t>N-random</t>
        </is>
      </c>
      <c r="D547" t="b">
        <v>0</v>
      </c>
      <c r="E547" t="b">
        <v>0</v>
      </c>
      <c r="F547" t="inlineStr">
        <is>
          <t>none</t>
        </is>
      </c>
      <c r="G547" t="inlineStr"/>
      <c r="H547" t="inlineStr">
        <is>
          <t>low</t>
        </is>
      </c>
      <c r="I547" t="inlineStr"/>
      <c r="J547" t="b">
        <v>0</v>
      </c>
      <c r="K547" t="inlineStr"/>
      <c r="L547" t="inlineStr"/>
      <c r="M547" t="inlineStr"/>
    </row>
    <row r="548">
      <c r="A548">
        <f>IMAGE("https://http2.mlstatic.com/D_NQ_NP_808901-MLA99926476149_112025-F.webp")</f>
        <v/>
      </c>
      <c r="B548" t="inlineStr">
        <is>
          <t>https://http2.mlstatic.com/D_NQ_NP_808901-MLA99926476149_112025-F.webp</t>
        </is>
      </c>
      <c r="C548" t="inlineStr">
        <is>
          <t>N-random</t>
        </is>
      </c>
      <c r="D548" t="b">
        <v>0</v>
      </c>
      <c r="E548" t="b">
        <v>1</v>
      </c>
      <c r="F548" t="inlineStr">
        <is>
          <t>badge</t>
        </is>
      </c>
      <c r="G548" t="inlineStr">
        <is>
          <t>un sello con texto como 'Recomendado'</t>
        </is>
      </c>
      <c r="H548" t="inlineStr">
        <is>
          <t>medium</t>
        </is>
      </c>
      <c r="I548" t="b">
        <v>0</v>
      </c>
      <c r="J548" t="b">
        <v>0</v>
      </c>
      <c r="K548" t="inlineStr"/>
      <c r="L548" t="inlineStr">
        <is>
          <t>easy to apply
BANDIRIL
fresh
breath
no brushing!
ORAL CARE
CLEAN TEETH GEL
halin romovo
plaque &amp; tartar
Anaa. (110 mi
for dogs
Naturally</t>
        </is>
      </c>
      <c r="M548" t="inlineStr"/>
    </row>
    <row r="549">
      <c r="A549">
        <f>IMAGE("https://http2.mlstatic.com/D_NQ_NP_997105-CBT102539426613_122025-F.webp")</f>
        <v/>
      </c>
      <c r="B549" t="inlineStr">
        <is>
          <t>https://http2.mlstatic.com/D_NQ_NP_997105-CBT102539426613_122025-F.webp</t>
        </is>
      </c>
      <c r="C549" t="inlineStr">
        <is>
          <t>N-random</t>
        </is>
      </c>
      <c r="D549" t="b">
        <v>0</v>
      </c>
      <c r="E549" t="b">
        <v>0</v>
      </c>
      <c r="F549" t="inlineStr">
        <is>
          <t>none</t>
        </is>
      </c>
      <c r="G549" t="inlineStr"/>
      <c r="H549" t="inlineStr">
        <is>
          <t>low</t>
        </is>
      </c>
      <c r="I549" t="inlineStr"/>
      <c r="J549" t="b">
        <v>0</v>
      </c>
      <c r="K549" t="inlineStr"/>
      <c r="L549" t="inlineStr">
        <is>
          <t>rose red
10pcs</t>
        </is>
      </c>
      <c r="M549" t="inlineStr"/>
    </row>
    <row r="550">
      <c r="A550">
        <f>IMAGE("https://http2.mlstatic.com/D_NQ_NP_871419-CBT113431421977_062026-F.webp")</f>
        <v/>
      </c>
      <c r="B550" t="inlineStr">
        <is>
          <t>https://http2.mlstatic.com/D_NQ_NP_871419-CBT113431421977_062026-F.webp</t>
        </is>
      </c>
      <c r="C550" t="inlineStr">
        <is>
          <t>N-random</t>
        </is>
      </c>
      <c r="D550" t="b">
        <v>0</v>
      </c>
      <c r="E550" t="b">
        <v>0</v>
      </c>
      <c r="F550" t="inlineStr">
        <is>
          <t>none</t>
        </is>
      </c>
      <c r="G550" t="inlineStr"/>
      <c r="H550" t="inlineStr">
        <is>
          <t>low</t>
        </is>
      </c>
      <c r="I550" t="inlineStr"/>
      <c r="J550" t="b">
        <v>0</v>
      </c>
      <c r="K550" t="inlineStr"/>
      <c r="L550" t="inlineStr"/>
      <c r="M550" t="inlineStr"/>
    </row>
    <row r="551">
      <c r="A551">
        <f>IMAGE("https://http2.mlstatic.com/D_NQ_NP_710773-MLB113407944983_062026-F.webp")</f>
        <v/>
      </c>
      <c r="B551" t="inlineStr">
        <is>
          <t>https://http2.mlstatic.com/D_NQ_NP_710773-MLB113407944983_062026-F.webp</t>
        </is>
      </c>
      <c r="C551" t="inlineStr">
        <is>
          <t>N-random</t>
        </is>
      </c>
      <c r="D551" t="b">
        <v>0</v>
      </c>
      <c r="E551" t="b">
        <v>0</v>
      </c>
      <c r="F551" t="inlineStr">
        <is>
          <t>none</t>
        </is>
      </c>
      <c r="G551" t="inlineStr"/>
      <c r="H551" t="inlineStr">
        <is>
          <t>low</t>
        </is>
      </c>
      <c r="I551" t="inlineStr"/>
      <c r="J551" t="b">
        <v>0</v>
      </c>
      <c r="K551" t="inlineStr"/>
      <c r="L551" t="inlineStr"/>
      <c r="M551" t="inlineStr"/>
    </row>
    <row r="552">
      <c r="A552">
        <f>IMAGE("https://http2.mlstatic.com/D_NQ_NP_881340-CBT108154507565_032026-F.webp")</f>
        <v/>
      </c>
      <c r="B552" t="inlineStr">
        <is>
          <t>https://http2.mlstatic.com/D_NQ_NP_881340-CBT108154507565_032026-F.webp</t>
        </is>
      </c>
      <c r="C552" t="inlineStr">
        <is>
          <t>N-dirigido</t>
        </is>
      </c>
      <c r="D552" t="b">
        <v>0</v>
      </c>
      <c r="E552" t="b">
        <v>0</v>
      </c>
      <c r="F552" t="inlineStr">
        <is>
          <t>none</t>
        </is>
      </c>
      <c r="G552" t="inlineStr"/>
      <c r="H552" t="inlineStr">
        <is>
          <t>low</t>
        </is>
      </c>
      <c r="I552" t="inlineStr"/>
      <c r="J552" t="b">
        <v>0</v>
      </c>
      <c r="K552" t="inlineStr"/>
      <c r="L552" t="inlineStr">
        <is>
          <t>ROTATE
ON/
RESET OFF
MUSIC S/P
MUSIC S/P
ROTATE
ROTATE
MUSIC S/P
RESET ON
OFF
RESET
充
-
MUSIC S/P
C
RESET ON
ROTATE
ROTAL
SIC S/P
RESET
ROTATE</t>
        </is>
      </c>
      <c r="M552" t="inlineStr"/>
    </row>
    <row r="553">
      <c r="A553">
        <f>IMAGE("https://http2.mlstatic.com/D_NQ_NP_769294-CBT112043228684_062026-F.webp")</f>
        <v/>
      </c>
      <c r="B553" t="inlineStr">
        <is>
          <t>https://http2.mlstatic.com/D_NQ_NP_769294-CBT112043228684_062026-F.webp</t>
        </is>
      </c>
      <c r="C553" t="inlineStr">
        <is>
          <t>N-dirigido</t>
        </is>
      </c>
      <c r="D553" t="b">
        <v>0</v>
      </c>
      <c r="E553" t="b">
        <v>0</v>
      </c>
      <c r="F553" t="inlineStr">
        <is>
          <t>none</t>
        </is>
      </c>
      <c r="G553" t="inlineStr"/>
      <c r="H553" t="inlineStr">
        <is>
          <t>high</t>
        </is>
      </c>
      <c r="I553" t="inlineStr"/>
      <c r="J553" t="b">
        <v>0</v>
      </c>
      <c r="K553" t="inlineStr"/>
      <c r="L553" t="inlineStr">
        <is>
          <t>MI2
69
1.25
M12X1.25 H2</t>
        </is>
      </c>
      <c r="M553" t="inlineStr"/>
    </row>
    <row r="554">
      <c r="A554">
        <f>IMAGE("https://http2.mlstatic.com/D_NQ_NP_933738-MLM106491540569_022026-F.webp")</f>
        <v/>
      </c>
      <c r="B554" t="inlineStr">
        <is>
          <t>https://http2.mlstatic.com/D_NQ_NP_933738-MLM106491540569_022026-F.webp</t>
        </is>
      </c>
      <c r="C554" t="inlineStr">
        <is>
          <t>N-dirigido</t>
        </is>
      </c>
      <c r="D554" t="b">
        <v>0</v>
      </c>
      <c r="E554" t="b">
        <v>0</v>
      </c>
      <c r="F554" t="inlineStr">
        <is>
          <t>none</t>
        </is>
      </c>
      <c r="G554" t="inlineStr"/>
      <c r="H554" t="inlineStr">
        <is>
          <t>low</t>
        </is>
      </c>
      <c r="I554" t="b">
        <v>0</v>
      </c>
      <c r="J554" t="b">
        <v>0</v>
      </c>
      <c r="K554" t="inlineStr"/>
      <c r="L554" t="inlineStr">
        <is>
          <t>LINGEFINED
HELAVE FREE
Organic
Neem Oil
Directions
Leaves Skin Youthful
and Radiant
COLD
PRESSED
NATURAL
Organic
Neem Oil
COLD
PRESSED
Promotes Healthier,
HEXANE
FREE
Thicker Hair
Nourishing &amp; Moisturizing Oil
60 ml/ 2.02 fl.oz
Leaves Skin Youthful &amp; Radiant
Promotes Healthier, Thicker Hair
HEXANE
F</t>
        </is>
      </c>
      <c r="M554" t="inlineStr"/>
    </row>
    <row r="555">
      <c r="A555">
        <f>IMAGE("https://http2.mlstatic.com/D_NQ_NP_868748-CBT113435381867_062026-F.webp")</f>
        <v/>
      </c>
      <c r="B555" t="inlineStr">
        <is>
          <t>https://http2.mlstatic.com/D_NQ_NP_868748-CBT113435381867_062026-F.webp</t>
        </is>
      </c>
      <c r="C555" t="inlineStr">
        <is>
          <t>N-dirigido</t>
        </is>
      </c>
      <c r="D555" t="b">
        <v>0</v>
      </c>
      <c r="E555" t="b">
        <v>0</v>
      </c>
      <c r="F555" t="inlineStr">
        <is>
          <t>none</t>
        </is>
      </c>
      <c r="G555" t="inlineStr"/>
      <c r="H555" t="inlineStr">
        <is>
          <t>low</t>
        </is>
      </c>
      <c r="I555" t="inlineStr"/>
      <c r="J555" t="b">
        <v>0</v>
      </c>
      <c r="K555" t="inlineStr"/>
      <c r="L555" t="inlineStr">
        <is>
          <t>Yichu Town
QUALIFIED
HACCP FDA
Probiotic
Freeze-dried Powder SOLID DRINK
200 Billion CFU/Box
FACTORY-ADDED ACTIVE PROBIOTICS
Support Digestive &amp; Gut Health
Support Immune Function Health
Maintain Intestinal Microflora Balance
Relief Bloating for Women and Men
Promote the Intestinal System Health
PRO</t>
        </is>
      </c>
      <c r="M555" t="inlineStr"/>
    </row>
    <row r="556">
      <c r="A556">
        <f>IMAGE("https://http2.mlstatic.com/D_NQ_NP_896666-MLM91136885429_082025-F.webp")</f>
        <v/>
      </c>
      <c r="B556" t="inlineStr">
        <is>
          <t>https://http2.mlstatic.com/D_NQ_NP_896666-MLM91136885429_082025-F.webp</t>
        </is>
      </c>
      <c r="C556" t="inlineStr">
        <is>
          <t>N-dirigido</t>
        </is>
      </c>
      <c r="D556" t="b">
        <v>0</v>
      </c>
      <c r="E556" t="b">
        <v>0</v>
      </c>
      <c r="F556" t="inlineStr">
        <is>
          <t>none</t>
        </is>
      </c>
      <c r="G556" t="inlineStr"/>
      <c r="H556" t="inlineStr">
        <is>
          <t>high</t>
        </is>
      </c>
      <c r="I556" t="inlineStr"/>
      <c r="J556" t="b">
        <v>0</v>
      </c>
      <c r="K556" t="inlineStr"/>
      <c r="L556" t="inlineStr">
        <is>
          <t>5100
RECREATIONAL &amp; COMMUTINO
ROAD &amp; OFF-ROAD
10W-40
ESTER
DEITIG
A
47
MOTORO
°00
KHI MOTUL CA
Somos
DISTERDE
1L
5100
RECREATIONAL &amp; COMMUTINO
ROAD &amp; OFF-ROAD
10W-40
ESTER
AT
MOTOROL
00
HS: MOTUL KA
Somos
DUSTARDS
1L
AB1413
FRAM
Motorcycle Oll F
Filtre &amp; bulls de mate
Filtro de Acelts para Mahade
PH</t>
        </is>
      </c>
      <c r="M556" t="inlineStr"/>
    </row>
    <row r="557">
      <c r="A557">
        <f>IMAGE("https://http2.mlstatic.com/D_NQ_NP_708066-CBT109714072701_032026-F.webp")</f>
        <v/>
      </c>
      <c r="B557" t="inlineStr">
        <is>
          <t>https://http2.mlstatic.com/D_NQ_NP_708066-CBT109714072701_032026-F.webp</t>
        </is>
      </c>
      <c r="C557" t="inlineStr">
        <is>
          <t>N-dirigido</t>
        </is>
      </c>
      <c r="D557" t="b">
        <v>0</v>
      </c>
      <c r="E557" t="inlineStr"/>
      <c r="F557" t="inlineStr"/>
      <c r="G557" t="inlineStr">
        <is>
          <t>PARSE_ERROR: !!!!!!!!!!!!!!!!!!!!!!!!!!!!!!!!!!!!!!!!!!!!!!!!!!!!!!!!!!!!!!!!!!!!!!!!!!!!!!!!!!!!!!!!!!!!!!!!!!!!!!!!!!!!!!!!!!!!!!!!!!!!!!!!!!!!!!!!!!!!!!!!!!!!!!!!!!!!!!!!!!!!!!!!!!!!!!!!!!!!!!!!!!!!!!!!!!!!!!!!</t>
        </is>
      </c>
      <c r="H557" t="inlineStr"/>
      <c r="I557" t="b">
        <v>0</v>
      </c>
      <c r="J557" t="b">
        <v>0</v>
      </c>
      <c r="K557" t="inlineStr"/>
      <c r="L557" t="inlineStr">
        <is>
          <t>plattor
WDEF
em.out
MARLON
ТИРИС
www.d
SUM
MADAGASCAP
CENTELLA
TONE BRIGHTENING
CAPSULE AMPOULE
MADI WITH PURE CENTELLA
FROM MADAGASCAR
100 ML/3.30 FLOZ.
LUDIAESMA
FAQUE
B
INVOLE EME
WE
BERGER OFFE
LIFE WAVE
SHERA
酒
H
A
商
AUT
3184
DEFODE
DANOLZ
MADAGASCAR
CENTELLA
TONE BRIGHTENING
CAPSULE AMPOULE
MA</t>
        </is>
      </c>
      <c r="M557" t="inlineStr"/>
    </row>
    <row r="558">
      <c r="A558">
        <f>IMAGE("https://http2.mlstatic.com/D_NQ_NP_834885-MLM113474897961_062026-F.webp")</f>
        <v/>
      </c>
      <c r="B558" t="inlineStr">
        <is>
          <t>https://http2.mlstatic.com/D_NQ_NP_834885-MLM113474897961_062026-F.webp</t>
        </is>
      </c>
      <c r="C558" t="inlineStr">
        <is>
          <t>N-dirigido</t>
        </is>
      </c>
      <c r="D558" t="b">
        <v>0</v>
      </c>
      <c r="E558" t="b">
        <v>0</v>
      </c>
      <c r="F558" t="inlineStr">
        <is>
          <t>none</t>
        </is>
      </c>
      <c r="G558" t="inlineStr"/>
      <c r="H558" t="inlineStr">
        <is>
          <t>low</t>
        </is>
      </c>
      <c r="I558" t="inlineStr"/>
      <c r="J558" t="b">
        <v>0</v>
      </c>
      <c r="K558" t="inlineStr"/>
      <c r="L558" t="inlineStr">
        <is>
          <t>TOP
FOR PERMANENTLY INSTALLED
INCANDESCENT FIXTURES ONLY
COOPER
TURN OFF POWER
BEFORE INSTALLATION
BREAKER NO.
120VAC
600W
LISTED
6B28
60HZ
C
UNIQUEMENT POUR INSTALLATIONS
PERMANENTS D'APPAREILS
D'ECLAIRAGE INCANDESCENT</t>
        </is>
      </c>
      <c r="M558" t="inlineStr"/>
    </row>
    <row r="559">
      <c r="A559">
        <f>IMAGE("https://http2.mlstatic.com/D_NQ_NP_802500-CBT113456306943_062026-F.webp")</f>
        <v/>
      </c>
      <c r="B559" t="inlineStr">
        <is>
          <t>https://http2.mlstatic.com/D_NQ_NP_802500-CBT113456306943_062026-F.webp</t>
        </is>
      </c>
      <c r="C559" t="inlineStr">
        <is>
          <t>N-dirigido</t>
        </is>
      </c>
      <c r="D559" t="b">
        <v>0</v>
      </c>
      <c r="E559" t="b">
        <v>0</v>
      </c>
      <c r="F559" t="inlineStr">
        <is>
          <t>none</t>
        </is>
      </c>
      <c r="G559" t="inlineStr"/>
      <c r="H559" t="inlineStr">
        <is>
          <t>low</t>
        </is>
      </c>
      <c r="I559" t="b">
        <v>0</v>
      </c>
      <c r="J559" t="b">
        <v>0</v>
      </c>
      <c r="K559" t="inlineStr"/>
      <c r="L559" t="inlineStr">
        <is>
          <t>ARNICA | VITAMIN B6 &amp; E | MSM | ALOE VERA
PREMIUM VEIN SUPPORT FORMULA
VARICOSE VEINS
INTENSIVE CONCENTRATE FOR
RELIEF &amp; RECOVERY
XD
PREMIUM
PROFESSIONALLY PROMOTE
CALMING
RELIEVING
FORMULATED CIRCULATION
QUALITY
NET: 2.02FL.OZ (60ML)</t>
        </is>
      </c>
      <c r="M559" t="inlineStr"/>
    </row>
    <row r="560">
      <c r="A560">
        <f>IMAGE("https://http2.mlstatic.com/D_NQ_NP_906656-MLM100236863308_122025-F.webp")</f>
        <v/>
      </c>
      <c r="B560" t="inlineStr">
        <is>
          <t>https://http2.mlstatic.com/D_NQ_NP_906656-MLM100236863308_122025-F.webp</t>
        </is>
      </c>
      <c r="C560" t="inlineStr">
        <is>
          <t>N-dirigido</t>
        </is>
      </c>
      <c r="D560" t="b">
        <v>0</v>
      </c>
      <c r="E560" t="b">
        <v>0</v>
      </c>
      <c r="F560" t="inlineStr">
        <is>
          <t>none</t>
        </is>
      </c>
      <c r="G560" t="inlineStr"/>
      <c r="H560" t="inlineStr">
        <is>
          <t>low</t>
        </is>
      </c>
      <c r="I560" t="inlineStr"/>
      <c r="J560" t="b">
        <v>0</v>
      </c>
      <c r="K560" t="inlineStr"/>
      <c r="L560" t="inlineStr">
        <is>
          <t>ARBUTIN
J+TY 4.0 CREAM E7%
POWERFUL ACTIVE INGREDIENTS
TIN 7% TRANEXAMIC ACID 4%
Advanced Treatment with 7% Arbutin ond 4% Tranexamic Acid is formulated to help even
out skin tone and promote radiant skin.
50 ml / 1.69 II. oz.
CARVENCHY</t>
        </is>
      </c>
      <c r="M560" t="inlineStr"/>
    </row>
    <row r="561">
      <c r="A561">
        <f>IMAGE("https://http2.mlstatic.com/D_NQ_NP_966961-MLB113620283029_062026-F.webp")</f>
        <v/>
      </c>
      <c r="B561" t="inlineStr">
        <is>
          <t>https://http2.mlstatic.com/D_NQ_NP_966961-MLB113620283029_062026-F.webp</t>
        </is>
      </c>
      <c r="C561" t="inlineStr">
        <is>
          <t>N-dirigido</t>
        </is>
      </c>
      <c r="D561" t="b">
        <v>0</v>
      </c>
      <c r="E561" t="b">
        <v>0</v>
      </c>
      <c r="F561" t="inlineStr">
        <is>
          <t>none</t>
        </is>
      </c>
      <c r="G561" t="inlineStr"/>
      <c r="H561" t="inlineStr">
        <is>
          <t>low</t>
        </is>
      </c>
      <c r="I561" t="inlineStr"/>
      <c r="J561" t="b">
        <v>0</v>
      </c>
      <c r="K561" t="inlineStr"/>
      <c r="L561" t="inlineStr">
        <is>
          <t>(N) 10
CE
废电池请回收
D
Li-ion
使用后は
リサイクルへ
mBook
A
CAUTION! Danger of explosion if battery is incorrectly replaced Replace only with the
same or equivalent type recommended by the manufacturer Dispose of used batteries
according to the manufacture's instructions Never attempt to disassemble or reassemble</t>
        </is>
      </c>
      <c r="M561" t="inlineStr"/>
    </row>
    <row r="562">
      <c r="A562">
        <f>IMAGE("https://http2.mlstatic.com/D_NQ_NP_675839-MLA113405320609_062026-F.webp")</f>
        <v/>
      </c>
      <c r="B562" t="inlineStr">
        <is>
          <t>https://http2.mlstatic.com/D_NQ_NP_675839-MLA113405320609_062026-F.webp</t>
        </is>
      </c>
      <c r="C562" t="inlineStr">
        <is>
          <t>N-dirigido</t>
        </is>
      </c>
      <c r="D562" t="b">
        <v>0</v>
      </c>
      <c r="E562" t="b">
        <v>0</v>
      </c>
      <c r="F562" t="inlineStr">
        <is>
          <t>none</t>
        </is>
      </c>
      <c r="G562" t="inlineStr"/>
      <c r="H562" t="inlineStr">
        <is>
          <t>low</t>
        </is>
      </c>
      <c r="I562" t="inlineStr"/>
      <c r="J562" t="b">
        <v>0</v>
      </c>
      <c r="K562" t="inlineStr"/>
      <c r="L562" t="inlineStr">
        <is>
          <t xml:space="preserve">VGR
VGR
100
VGR
01
AFA
VGR
GLOBAL OFFICIAL LICENSOR OF AFA
VGR
VG
VGR
V-330B PROFESSIONAL
MEN'S SHAVER
sheads floating shaver
1200mAh Lithium
battery
IPX5 waterproof
Magnetic suction
V-3
Rechargable messa
dye LED display USB charger
Ramble Use
bagra Dp LED Fun
Call C
Uation de fiche Achace
Fanon de </t>
        </is>
      </c>
      <c r="M562" t="inlineStr"/>
    </row>
    <row r="563">
      <c r="A563">
        <f>IMAGE("https://http2.mlstatic.com/D_NQ_NP_847958-CBT106215448835_012026-F.webp")</f>
        <v/>
      </c>
      <c r="B563" t="inlineStr">
        <is>
          <t>https://http2.mlstatic.com/D_NQ_NP_847958-CBT106215448835_012026-F.webp</t>
        </is>
      </c>
      <c r="C563" t="inlineStr">
        <is>
          <t>N-dirigido</t>
        </is>
      </c>
      <c r="D563" t="b">
        <v>0</v>
      </c>
      <c r="E563" t="b">
        <v>0</v>
      </c>
      <c r="F563" t="inlineStr">
        <is>
          <t>none</t>
        </is>
      </c>
      <c r="G563" t="inlineStr"/>
      <c r="H563" t="inlineStr">
        <is>
          <t>low</t>
        </is>
      </c>
      <c r="I563" t="inlineStr"/>
      <c r="J563" t="b">
        <v>0</v>
      </c>
      <c r="K563" t="inlineStr"/>
      <c r="L563" t="inlineStr">
        <is>
          <t>XENAY
KEJAY
XEIJAYI NAIL
GEL POLISH
SOAK OFF UV/LED
15ml 0.5fl.oz</t>
        </is>
      </c>
      <c r="M563" t="inlineStr"/>
    </row>
    <row r="564">
      <c r="A564">
        <f>IMAGE("https://http2.mlstatic.com/D_NQ_NP_707398-CBT113573973015_062026-F.webp")</f>
        <v/>
      </c>
      <c r="B564" t="inlineStr">
        <is>
          <t>https://http2.mlstatic.com/D_NQ_NP_707398-CBT113573973015_062026-F.webp</t>
        </is>
      </c>
      <c r="C564" t="inlineStr">
        <is>
          <t>N-dirigido</t>
        </is>
      </c>
      <c r="D564" t="b">
        <v>0</v>
      </c>
      <c r="E564" t="b">
        <v>1</v>
      </c>
      <c r="F564" t="inlineStr">
        <is>
          <t>badge</t>
        </is>
      </c>
      <c r="G564" t="inlineStr">
        <is>
          <t>Mas vendido</t>
        </is>
      </c>
      <c r="H564" t="inlineStr">
        <is>
          <t>medium</t>
        </is>
      </c>
      <c r="I564" t="b">
        <v>0</v>
      </c>
      <c r="J564" t="b">
        <v>0</v>
      </c>
      <c r="K564" t="inlineStr"/>
      <c r="L564" t="inlineStr">
        <is>
          <t>INLOW
MC
OFF ROAD
CHAIN
CARE KI
TROUSSE D'ENTRETIEN
DE CHAÎNE-TOUT-TERRAI
INLOW
MC
CARE
ring
-ring
CHAIN
LUBE
OFF ROAD
LUBRIFIANT CHAINE
VEHICULE TOUT-TO
Lubricates
and protects
off road vehicle
chain
Lubrifie et no
la chaine des
EXTRE
EXTREME DANGER E
VERY FLAMM
Porton
INLOW
MC
CARE
C1
EXTREME
VERV</t>
        </is>
      </c>
      <c r="M564" t="inlineStr"/>
    </row>
    <row r="565">
      <c r="A565">
        <f>IMAGE("https://http2.mlstatic.com/D_NQ_NP_675137-CBT113650079383_062026-F.webp")</f>
        <v/>
      </c>
      <c r="B565" t="inlineStr">
        <is>
          <t>https://http2.mlstatic.com/D_NQ_NP_675137-CBT113650079383_062026-F.webp</t>
        </is>
      </c>
      <c r="C565" t="inlineStr">
        <is>
          <t>N-dirigido</t>
        </is>
      </c>
      <c r="D565" t="b">
        <v>0</v>
      </c>
      <c r="E565" t="b">
        <v>1</v>
      </c>
      <c r="F565" t="inlineStr">
        <is>
          <t>badge</t>
        </is>
      </c>
      <c r="G565" t="inlineStr">
        <is>
          <t>un sello con texto como 'Recomendado'</t>
        </is>
      </c>
      <c r="H565" t="inlineStr">
        <is>
          <t>medium</t>
        </is>
      </c>
      <c r="I565" t="b">
        <v>0</v>
      </c>
      <c r="J565" t="b">
        <v>0</v>
      </c>
      <c r="K565" t="inlineStr"/>
      <c r="L565" t="inlineStr">
        <is>
          <t>Co
69 OFF ON
G B W</t>
        </is>
      </c>
      <c r="M565" t="inlineStr"/>
    </row>
    <row r="566">
      <c r="A566">
        <f>IMAGE("https://http2.mlstatic.com/D_NQ_NP_904256-CBT96418500659_102025-F.webp")</f>
        <v/>
      </c>
      <c r="B566" t="inlineStr">
        <is>
          <t>https://http2.mlstatic.com/D_NQ_NP_904256-CBT96418500659_102025-F.webp</t>
        </is>
      </c>
      <c r="C566" t="inlineStr">
        <is>
          <t>N-dirigido</t>
        </is>
      </c>
      <c r="D566" t="b">
        <v>0</v>
      </c>
      <c r="E566" t="b">
        <v>0</v>
      </c>
      <c r="F566" t="inlineStr">
        <is>
          <t>none</t>
        </is>
      </c>
      <c r="G566" t="inlineStr"/>
      <c r="H566" t="inlineStr">
        <is>
          <t>low</t>
        </is>
      </c>
      <c r="I566" t="inlineStr"/>
      <c r="J566" t="b">
        <v>0</v>
      </c>
      <c r="K566" t="inlineStr"/>
      <c r="L566" t="inlineStr">
        <is>
          <t>Mastfuyi
FY129C
NCV
Live
SMART
28
DC
A
H
• Hz f..
-888.8%
FC
0000
°F°C KMQHz nmFV
AUTO POWER OFF TRUE RMS
SEL
NCV
HOLD
LIVE
อ
CE
6000 COUNTS
CAT. IN 600V
MAX SOOV
MAX GOO
1)) Hz NCV LIVE
A COM
INPUT A</t>
        </is>
      </c>
      <c r="M566" t="inlineStr"/>
    </row>
    <row r="567">
      <c r="A567">
        <f>IMAGE("https://http2.mlstatic.com/D_NQ_NP_710512-CBT112263576208_062026-F.webp")</f>
        <v/>
      </c>
      <c r="B567" t="inlineStr">
        <is>
          <t>https://http2.mlstatic.com/D_NQ_NP_710512-CBT112263576208_062026-F.webp</t>
        </is>
      </c>
      <c r="C567" t="inlineStr">
        <is>
          <t>N-dirigido</t>
        </is>
      </c>
      <c r="D567" t="b">
        <v>0</v>
      </c>
      <c r="E567" t="b">
        <v>0</v>
      </c>
      <c r="F567" t="inlineStr">
        <is>
          <t>none</t>
        </is>
      </c>
      <c r="G567" t="inlineStr"/>
      <c r="H567" t="inlineStr">
        <is>
          <t>low</t>
        </is>
      </c>
      <c r="I567" t="inlineStr"/>
      <c r="J567" t="b">
        <v>0</v>
      </c>
      <c r="K567" t="inlineStr"/>
      <c r="L567" t="inlineStr">
        <is>
          <t xml:space="preserve">Greater Dirt-Holding Capacity
The unique triobal fabric deliver 21-40% greater
effective surface area when compared to competiting
products. This structure is easier to capture a large
amount of contaminants which can effectively remove
hair, leaves, dust, sediment, sand, etc
Excellent Cleanability
</t>
        </is>
      </c>
      <c r="M567" t="inlineStr"/>
    </row>
    <row r="568">
      <c r="A568">
        <f>IMAGE("https://http2.mlstatic.com/D_NQ_NP_750954-CBT112484337840_062026-F.webp")</f>
        <v/>
      </c>
      <c r="B568" t="inlineStr">
        <is>
          <t>https://http2.mlstatic.com/D_NQ_NP_750954-CBT112484337840_062026-F.webp</t>
        </is>
      </c>
      <c r="C568" t="inlineStr">
        <is>
          <t>N-dirigido</t>
        </is>
      </c>
      <c r="D568" t="b">
        <v>0</v>
      </c>
      <c r="E568" t="b">
        <v>0</v>
      </c>
      <c r="F568" t="inlineStr">
        <is>
          <t>none</t>
        </is>
      </c>
      <c r="G568" t="inlineStr"/>
      <c r="H568" t="inlineStr">
        <is>
          <t>low</t>
        </is>
      </c>
      <c r="I568" t="b">
        <v>0</v>
      </c>
      <c r="J568" t="b">
        <v>0</v>
      </c>
      <c r="K568" t="inlineStr"/>
      <c r="L568" t="inlineStr">
        <is>
          <t>ZEZY
PWR/ALM
ENA-
Microstep Driver
R42
Current Table
Peak RMS
0.3 0.2 on on
SW1 SW2 SW3
Signal
ENA+
DIR-
DIR+
PUL-
on
0.5 0.3 off on on
PUL+
1.0
0.7 0.5
0.7
on off
on
off off on
1.3 1.0 on on off
SW8
1.6
12
off
on
off
SW7
1.9
22
14 on off off
1.6 off off
off
Pulse/rev Table
SW4 off-Half Current on-F</t>
        </is>
      </c>
      <c r="M568" t="inlineStr"/>
    </row>
    <row r="569">
      <c r="A569">
        <f>IMAGE("https://http2.mlstatic.com/D_NQ_NP_976564-CBT89908815654_082025-F.webp")</f>
        <v/>
      </c>
      <c r="B569" t="inlineStr">
        <is>
          <t>https://http2.mlstatic.com/D_NQ_NP_976564-CBT89908815654_082025-F.webp</t>
        </is>
      </c>
      <c r="C569" t="inlineStr">
        <is>
          <t>N-dirigido</t>
        </is>
      </c>
      <c r="D569" t="b">
        <v>0</v>
      </c>
      <c r="E569" t="b">
        <v>0</v>
      </c>
      <c r="F569" t="inlineStr">
        <is>
          <t>none</t>
        </is>
      </c>
      <c r="G569" t="inlineStr"/>
      <c r="H569" t="inlineStr">
        <is>
          <t>low</t>
        </is>
      </c>
      <c r="I569" t="inlineStr"/>
      <c r="J569" t="b">
        <v>0</v>
      </c>
      <c r="K569" t="inlineStr"/>
      <c r="L569" t="inlineStr">
        <is>
          <t>LIFE
EXTENSION®
L-Theanine
GLUTEN
FREE
NON
GMO
LO QUITIFIED
Promotes a Calming and
Mood Enhancing Effect*
VEGETARIAN
60 CAPSULES
DIETARY
SUPPLEMENT</t>
        </is>
      </c>
      <c r="M569" t="inlineStr"/>
    </row>
    <row r="570">
      <c r="A570">
        <f>IMAGE("https://http2.mlstatic.com/D_NQ_NP_922528-CBT113068703947_062026-F.webp")</f>
        <v/>
      </c>
      <c r="B570" t="inlineStr">
        <is>
          <t>https://http2.mlstatic.com/D_NQ_NP_922528-CBT113068703947_062026-F.webp</t>
        </is>
      </c>
      <c r="C570" t="inlineStr">
        <is>
          <t>N-dirigido</t>
        </is>
      </c>
      <c r="D570" t="b">
        <v>0</v>
      </c>
      <c r="E570" t="b">
        <v>0</v>
      </c>
      <c r="F570" t="inlineStr">
        <is>
          <t>none</t>
        </is>
      </c>
      <c r="G570" t="inlineStr"/>
      <c r="H570" t="inlineStr">
        <is>
          <t>low</t>
        </is>
      </c>
      <c r="I570" t="b">
        <v>0</v>
      </c>
      <c r="J570" t="b">
        <v>0</v>
      </c>
      <c r="K570" t="inlineStr"/>
      <c r="L570" t="inlineStr">
        <is>
          <t>ENZYMEDICA
FOR YOUR DIGESTIVE HAPPINESS
ENZYME
BRAND
MucoStop
PROMOTES EASY BREATHING
FROM OCCASIONAL CONGESTION*
Cur Enzymes:
Are all-natural*
• Are non-drowsy*
96 CAPSULES
Vegan &amp; Kosher Dietary Supplement</t>
        </is>
      </c>
      <c r="M570" t="inlineStr"/>
    </row>
    <row r="571">
      <c r="A571">
        <f>IMAGE("https://http2.mlstatic.com/D_NQ_NP_647740-CBT113622651691_062026-F.webp")</f>
        <v/>
      </c>
      <c r="B571" t="inlineStr">
        <is>
          <t>https://http2.mlstatic.com/D_NQ_NP_647740-CBT113622651691_062026-F.webp</t>
        </is>
      </c>
      <c r="C571" t="inlineStr">
        <is>
          <t>N-dirigido</t>
        </is>
      </c>
      <c r="D571" t="b">
        <v>0</v>
      </c>
      <c r="E571" t="b">
        <v>0</v>
      </c>
      <c r="F571" t="inlineStr">
        <is>
          <t>none</t>
        </is>
      </c>
      <c r="G571" t="inlineStr"/>
      <c r="H571" t="inlineStr">
        <is>
          <t>low</t>
        </is>
      </c>
      <c r="I571" t="inlineStr"/>
      <c r="J571" t="b">
        <v>0</v>
      </c>
      <c r="K571" t="inlineStr"/>
      <c r="L571" t="inlineStr">
        <is>
          <t>MOST LIKELY
TO OFFER SANTA A BEER</t>
        </is>
      </c>
      <c r="M571" t="inlineStr"/>
    </row>
    <row r="572">
      <c r="A572">
        <f>IMAGE("https://http2.mlstatic.com/D_NQ_NP_737759-CBT112415934880_062026-F.webp")</f>
        <v/>
      </c>
      <c r="B572" t="inlineStr">
        <is>
          <t>https://http2.mlstatic.com/D_NQ_NP_737759-CBT112415934880_062026-F.webp</t>
        </is>
      </c>
      <c r="C572" t="inlineStr">
        <is>
          <t>N-dirigido</t>
        </is>
      </c>
      <c r="D572" t="b">
        <v>0</v>
      </c>
      <c r="E572" t="b">
        <v>0</v>
      </c>
      <c r="F572" t="inlineStr">
        <is>
          <t>none</t>
        </is>
      </c>
      <c r="G572" t="inlineStr"/>
      <c r="H572" t="inlineStr">
        <is>
          <t>low</t>
        </is>
      </c>
      <c r="I572" t="inlineStr"/>
      <c r="J572" t="b">
        <v>0</v>
      </c>
      <c r="K572" t="inlineStr"/>
      <c r="L572" t="inlineStr">
        <is>
          <t>TOB7Z-63
In:63A
Icu=6kA
1000V
IEC/EN60947-2
ΔΙΟΝ
▼O OFF
11-31+
**
21+41-</t>
        </is>
      </c>
      <c r="M572" t="inlineStr"/>
    </row>
    <row r="573">
      <c r="A573">
        <f>IMAGE("https://http2.mlstatic.com/D_NQ_NP_725314-CBT113482366345_062026-F.webp")</f>
        <v/>
      </c>
      <c r="B573" t="inlineStr">
        <is>
          <t>https://http2.mlstatic.com/D_NQ_NP_725314-CBT113482366345_062026-F.webp</t>
        </is>
      </c>
      <c r="C573" t="inlineStr">
        <is>
          <t>N-dirigido</t>
        </is>
      </c>
      <c r="D573" t="b">
        <v>0</v>
      </c>
      <c r="E573" t="b">
        <v>0</v>
      </c>
      <c r="F573" t="inlineStr">
        <is>
          <t>none</t>
        </is>
      </c>
      <c r="G573" t="inlineStr"/>
      <c r="H573" t="inlineStr">
        <is>
          <t>low</t>
        </is>
      </c>
      <c r="I573" t="inlineStr"/>
      <c r="J573" t="b">
        <v>0</v>
      </c>
      <c r="K573" t="inlineStr"/>
      <c r="L573" t="inlineStr">
        <is>
          <t>E
UV OFF LED
LED LOUPE
TRIPLET 10X-22mm
USB Charging White&amp;UV</t>
        </is>
      </c>
      <c r="M573" t="inlineStr"/>
    </row>
    <row r="574">
      <c r="A574">
        <f>IMAGE("https://http2.mlstatic.com/D_NQ_NP_816165-MLB112176721826_062026-F.webp")</f>
        <v/>
      </c>
      <c r="B574" t="inlineStr">
        <is>
          <t>https://http2.mlstatic.com/D_NQ_NP_816165-MLB112176721826_062026-F.webp</t>
        </is>
      </c>
      <c r="C574" t="inlineStr">
        <is>
          <t>N-dirigido</t>
        </is>
      </c>
      <c r="D574" t="b">
        <v>0</v>
      </c>
      <c r="E574" t="b">
        <v>0</v>
      </c>
      <c r="F574" t="inlineStr">
        <is>
          <t>none</t>
        </is>
      </c>
      <c r="G574" t="inlineStr"/>
      <c r="H574" t="inlineStr">
        <is>
          <t>low</t>
        </is>
      </c>
      <c r="I574" t="inlineStr"/>
      <c r="J574" t="b">
        <v>0</v>
      </c>
      <c r="K574" t="inlineStr"/>
      <c r="L574" t="inlineStr">
        <is>
          <t>בון
3
CUTTING
WHEEL
MAX 20100RPM-80MS
IND
FORMA
GENAL
OF
GENAI
75x12x10
3 x3/4x3/a
METAL INOX
WARNING
Do notoxcobu
Motal unrd should not be rentover from
Power Tools. Gutting &amp; Grinding which
must be correctly fittdel
Flangne must be a minmun
110 Diamotor of whool</t>
        </is>
      </c>
      <c r="M574" t="inlineStr"/>
    </row>
    <row r="575">
      <c r="A575">
        <f>IMAGE("https://http2.mlstatic.com/D_NQ_NP_636568-CBT113323805283_062026-F.webp")</f>
        <v/>
      </c>
      <c r="B575" t="inlineStr">
        <is>
          <t>https://http2.mlstatic.com/D_NQ_NP_636568-CBT113323805283_062026-F.webp</t>
        </is>
      </c>
      <c r="C575" t="inlineStr">
        <is>
          <t>N-dirigido</t>
        </is>
      </c>
      <c r="D575" t="b">
        <v>0</v>
      </c>
      <c r="E575" t="b">
        <v>1</v>
      </c>
      <c r="F575" t="inlineStr">
        <is>
          <t>badge</t>
        </is>
      </c>
      <c r="G575" t="inlineStr">
        <is>
          <t>un sello con texto como 'Recomendado'</t>
        </is>
      </c>
      <c r="H575" t="inlineStr">
        <is>
          <t>medium</t>
        </is>
      </c>
      <c r="I575" t="b">
        <v>0</v>
      </c>
      <c r="J575" t="b">
        <v>0</v>
      </c>
      <c r="K575" t="inlineStr"/>
      <c r="L575" t="inlineStr">
        <is>
          <t>Protection-not easy to fall off
Pick up and put down easily.
I.</t>
        </is>
      </c>
      <c r="M575" t="inlineStr"/>
    </row>
    <row r="576">
      <c r="A576">
        <f>IMAGE("https://http2.mlstatic.com/D_NQ_NP_918421-CBT88619174521_072025-F.webp")</f>
        <v/>
      </c>
      <c r="B576" t="inlineStr">
        <is>
          <t>https://http2.mlstatic.com/D_NQ_NP_918421-CBT88619174521_072025-F.webp</t>
        </is>
      </c>
      <c r="C576" t="inlineStr">
        <is>
          <t>N-dirigido</t>
        </is>
      </c>
      <c r="D576" t="b">
        <v>0</v>
      </c>
      <c r="E576" t="b">
        <v>0</v>
      </c>
      <c r="F576" t="inlineStr">
        <is>
          <t>none</t>
        </is>
      </c>
      <c r="G576" t="inlineStr"/>
      <c r="H576" t="inlineStr">
        <is>
          <t>low</t>
        </is>
      </c>
      <c r="I576" t="inlineStr"/>
      <c r="J576" t="b">
        <v>0</v>
      </c>
      <c r="K576" t="inlineStr"/>
      <c r="L576" t="inlineStr">
        <is>
          <t>ASAS
HOLD
TEMP
ON OFF
TDS水质检测笔
天津酒鼻科技有限公
0-50
64
50-100 100-300 300-600 600-1000 1000RE
10
CEMOSIONARAY AW
3989</t>
        </is>
      </c>
      <c r="M576" t="inlineStr"/>
    </row>
    <row r="577">
      <c r="A577">
        <f>IMAGE("https://http2.mlstatic.com/D_NQ_NP_966662-CBT113547772449_062026-F.webp")</f>
        <v/>
      </c>
      <c r="B577" t="inlineStr">
        <is>
          <t>https://http2.mlstatic.com/D_NQ_NP_966662-CBT113547772449_062026-F.webp</t>
        </is>
      </c>
      <c r="C577" t="inlineStr">
        <is>
          <t>N-dirigido</t>
        </is>
      </c>
      <c r="D577" t="b">
        <v>0</v>
      </c>
      <c r="E577" t="b">
        <v>0</v>
      </c>
      <c r="F577" t="inlineStr">
        <is>
          <t>none</t>
        </is>
      </c>
      <c r="G577" t="inlineStr"/>
      <c r="H577" t="inlineStr">
        <is>
          <t>low</t>
        </is>
      </c>
      <c r="I577" t="b">
        <v>0</v>
      </c>
      <c r="J577" t="b">
        <v>0</v>
      </c>
      <c r="K577" t="inlineStr"/>
      <c r="L577" t="inlineStr">
        <is>
          <t>KG316 MICROCOMPUTER TIMER SWITCH
RESET/
RECALL
ON
HOUR
AUTO/
MANU
AUTO OFF
TIMER
I
MINUTE WEEK
POWER WORK
CLOCK</t>
        </is>
      </c>
      <c r="M577" t="inlineStr"/>
    </row>
    <row r="578">
      <c r="A578">
        <f>IMAGE("https://http2.mlstatic.com/D_NQ_NP_647109-CBT90081846597_082025-F.webp")</f>
        <v/>
      </c>
      <c r="B578" t="inlineStr">
        <is>
          <t>https://http2.mlstatic.com/D_NQ_NP_647109-CBT90081846597_082025-F.webp</t>
        </is>
      </c>
      <c r="C578" t="inlineStr">
        <is>
          <t>N-dirigido</t>
        </is>
      </c>
      <c r="D578" t="b">
        <v>0</v>
      </c>
      <c r="E578" t="b">
        <v>0</v>
      </c>
      <c r="F578" t="inlineStr">
        <is>
          <t>none</t>
        </is>
      </c>
      <c r="G578" t="inlineStr"/>
      <c r="H578" t="inlineStr">
        <is>
          <t>low</t>
        </is>
      </c>
      <c r="I578" t="inlineStr"/>
      <c r="J578" t="b">
        <v>0</v>
      </c>
      <c r="K578" t="inlineStr"/>
      <c r="L578" t="inlineStr">
        <is>
          <t>4
A
400A-
MAX
CATII
GOOV
4000
COUNTS
Hz
⚫ OFF
CE
Ω +
+-)).
NCV OFF
SELI REL
SELI RANGE
ANENG®
+4
DC
AUTOAHMAX MIN
H/BL
H/BL
ST180
4000
MkQHz% FVA
ΔΑ
MAX
600V
COM
ΖΩΗΣ
本中</t>
        </is>
      </c>
      <c r="M578" t="inlineStr"/>
    </row>
    <row r="579">
      <c r="A579">
        <f>IMAGE("https://http2.mlstatic.com/D_NQ_NP_917117-MLA112470054084_062026-F.webp")</f>
        <v/>
      </c>
      <c r="B579" t="inlineStr">
        <is>
          <t>https://http2.mlstatic.com/D_NQ_NP_917117-MLA112470054084_062026-F.webp</t>
        </is>
      </c>
      <c r="C579" t="inlineStr">
        <is>
          <t>N-dirigido</t>
        </is>
      </c>
      <c r="D579" t="b">
        <v>0</v>
      </c>
      <c r="E579" t="b">
        <v>0</v>
      </c>
      <c r="F579" t="inlineStr">
        <is>
          <t>none</t>
        </is>
      </c>
      <c r="G579" t="inlineStr"/>
      <c r="H579" t="inlineStr">
        <is>
          <t>high</t>
        </is>
      </c>
      <c r="I579" t="inlineStr"/>
      <c r="J579" t="b">
        <v>0</v>
      </c>
      <c r="K579" t="inlineStr"/>
      <c r="L579" t="inlineStr">
        <is>
          <t>⇒ LIBRO USADO =
⚫EN BUEN ESTADO •
Q
Libro usado en buen estado general
Puede presentar detalles normales
por el uso y el paso del tiempo
Revisado y listo para su envío
Las fotos originales del libro se publicarán próximamente.</t>
        </is>
      </c>
      <c r="M579" t="inlineStr"/>
    </row>
    <row r="580">
      <c r="A580">
        <f>IMAGE("https://http2.mlstatic.com/D_NQ_NP_904110-MLB112452964322_062026-F.webp")</f>
        <v/>
      </c>
      <c r="B580" t="inlineStr">
        <is>
          <t>https://http2.mlstatic.com/D_NQ_NP_904110-MLB112452964322_062026-F.webp</t>
        </is>
      </c>
      <c r="C580" t="inlineStr">
        <is>
          <t>N-dirigido</t>
        </is>
      </c>
      <c r="D580" t="b">
        <v>0</v>
      </c>
      <c r="E580" t="b">
        <v>0</v>
      </c>
      <c r="F580" t="inlineStr">
        <is>
          <t>none</t>
        </is>
      </c>
      <c r="G580" t="inlineStr"/>
      <c r="H580" t="inlineStr">
        <is>
          <t>low</t>
        </is>
      </c>
      <c r="I580" t="inlineStr"/>
      <c r="J580" t="b">
        <v>0</v>
      </c>
      <c r="K580" t="inlineStr"/>
      <c r="L580" t="inlineStr">
        <is>
          <t>SEL/
S
EF
/
V~600.
200.
2m.
20m-
200
NCV
Live OFF
600
0
•
200
V...
20
.2
-200
m
20M
m
10°
A-
2M
++
200k
200 2k
20k
TRUE RMS
CAT III 600V
10A CE COM
AO
FUSED
A
FUSED
INPUT
L10BEC MAX JL 500MAX</t>
        </is>
      </c>
      <c r="M580" t="inlineStr"/>
    </row>
    <row r="581">
      <c r="A581">
        <f>IMAGE("https://http2.mlstatic.com/D_NQ_NP_845011-CBT113448525053_062026-F.webp")</f>
        <v/>
      </c>
      <c r="B581" t="inlineStr">
        <is>
          <t>https://http2.mlstatic.com/D_NQ_NP_845011-CBT113448525053_062026-F.webp</t>
        </is>
      </c>
      <c r="C581" t="inlineStr">
        <is>
          <t>N-dirigido</t>
        </is>
      </c>
      <c r="D581" t="b">
        <v>0</v>
      </c>
      <c r="E581" t="b">
        <v>0</v>
      </c>
      <c r="F581" t="inlineStr">
        <is>
          <t>none</t>
        </is>
      </c>
      <c r="G581" t="inlineStr"/>
      <c r="H581" t="inlineStr">
        <is>
          <t>low</t>
        </is>
      </c>
      <c r="I581" t="inlineStr"/>
      <c r="J581" t="b">
        <v>0</v>
      </c>
      <c r="K581" t="inlineStr"/>
      <c r="L581" t="inlineStr">
        <is>
          <t>OFF
ATT
K
ZA
►I
MONITOR OFF AUDIO SUBTITLE ANGLE
POSITION
Ꮡ
EQ
T
TOP MENU MENU
ENTER
ZAP
1
2
3
SRC
4
5
6
MODE
7
80
CLEAR
0
6
RM-X170 R
+
VOL</t>
        </is>
      </c>
      <c r="M581" t="inlineStr"/>
    </row>
    <row r="582">
      <c r="A582">
        <f>IMAGE("https://http2.mlstatic.com/D_NQ_NP_895650-CBT86086013799_062025-F.webp")</f>
        <v/>
      </c>
      <c r="B582" t="inlineStr">
        <is>
          <t>https://http2.mlstatic.com/D_NQ_NP_895650-CBT86086013799_062025-F.webp</t>
        </is>
      </c>
      <c r="C582" t="inlineStr">
        <is>
          <t>N-dirigido</t>
        </is>
      </c>
      <c r="D582" t="b">
        <v>0</v>
      </c>
      <c r="E582" t="b">
        <v>0</v>
      </c>
      <c r="F582" t="inlineStr">
        <is>
          <t>none</t>
        </is>
      </c>
      <c r="G582" t="inlineStr"/>
      <c r="H582" t="inlineStr">
        <is>
          <t>low</t>
        </is>
      </c>
      <c r="I582" t="inlineStr"/>
      <c r="J582" t="b">
        <v>0</v>
      </c>
      <c r="K582" t="inlineStr"/>
      <c r="L582" t="inlineStr">
        <is>
          <t>TOMZN=
TOB1-63H
400V~
C63
IEC60898-1
CE
GB/T10963.14ION
6000A
O OFF
TOMZN
MTS TOB1-63H
N R
400V~
1* 3*
IEC60898-1
C63
CE
1* 3*
GB/T10963.1ION
IEC/EN60947-8-1 60</t>
        </is>
      </c>
      <c r="M582" t="inlineStr"/>
    </row>
    <row r="583">
      <c r="A583">
        <f>IMAGE("https://http2.mlstatic.com/D_NQ_NP_910964-MLA112260811002_062026-F.webp")</f>
        <v/>
      </c>
      <c r="B583" t="inlineStr">
        <is>
          <t>https://http2.mlstatic.com/D_NQ_NP_910964-MLA112260811002_062026-F.webp</t>
        </is>
      </c>
      <c r="C583" t="inlineStr">
        <is>
          <t>N-dirigido</t>
        </is>
      </c>
      <c r="D583" t="b">
        <v>0</v>
      </c>
      <c r="E583" t="b">
        <v>0</v>
      </c>
      <c r="F583" t="inlineStr">
        <is>
          <t>none</t>
        </is>
      </c>
      <c r="G583" t="inlineStr"/>
      <c r="H583" t="inlineStr">
        <is>
          <t>low</t>
        </is>
      </c>
      <c r="I583" t="inlineStr"/>
      <c r="J583" t="b">
        <v>0</v>
      </c>
      <c r="K583" t="inlineStr"/>
      <c r="L583" t="inlineStr">
        <is>
          <t>SR.S.
70
90
110 130
0
03.083-
4799
LIST
21.5°C
TEMP
AUTO
Cucha ucha
Vents Waines
1ts General Menuer a
1122
4415-
2D
22.5°C
A/C OFF
TEMP
205
0</t>
        </is>
      </c>
      <c r="M583" t="inlineStr"/>
    </row>
    <row r="584">
      <c r="A584">
        <f>IMAGE("https://http2.mlstatic.com/D_NQ_NP_993548-CBT93699970762_102025-F.webp")</f>
        <v/>
      </c>
      <c r="B584" t="inlineStr">
        <is>
          <t>https://http2.mlstatic.com/D_NQ_NP_993548-CBT93699970762_102025-F.webp</t>
        </is>
      </c>
      <c r="C584" t="inlineStr">
        <is>
          <t>N-dirigido</t>
        </is>
      </c>
      <c r="D584" t="b">
        <v>0</v>
      </c>
      <c r="E584" t="b">
        <v>0</v>
      </c>
      <c r="F584" t="inlineStr">
        <is>
          <t>none</t>
        </is>
      </c>
      <c r="G584" t="inlineStr"/>
      <c r="H584" t="inlineStr">
        <is>
          <t>low</t>
        </is>
      </c>
      <c r="I584" t="inlineStr"/>
      <c r="J584" t="b">
        <v>0</v>
      </c>
      <c r="K584" t="inlineStr"/>
      <c r="L584" t="inlineStr">
        <is>
          <t>-DISC
ALL METAL
0 1 2 3 4 5 6 7 8 9 10
VULUME
TARGET INDICATOR
SENS
EAR
LOW BAT
POWER OFF</t>
        </is>
      </c>
      <c r="M584" t="inlineStr"/>
    </row>
    <row r="585">
      <c r="A585">
        <f>IMAGE("https://http2.mlstatic.com/D_NQ_NP_671455-CBT111998502980_062026-F.webp")</f>
        <v/>
      </c>
      <c r="B585" t="inlineStr">
        <is>
          <t>https://http2.mlstatic.com/D_NQ_NP_671455-CBT111998502980_062026-F.webp</t>
        </is>
      </c>
      <c r="C585" t="inlineStr">
        <is>
          <t>N-dirigido</t>
        </is>
      </c>
      <c r="D585" t="b">
        <v>0</v>
      </c>
      <c r="E585" t="b">
        <v>0</v>
      </c>
      <c r="F585" t="inlineStr">
        <is>
          <t>none</t>
        </is>
      </c>
      <c r="G585" t="inlineStr"/>
      <c r="H585" t="inlineStr">
        <is>
          <t>low</t>
        </is>
      </c>
      <c r="I585" t="inlineStr"/>
      <c r="J585" t="b">
        <v>0</v>
      </c>
      <c r="K585" t="inlineStr"/>
      <c r="L585" t="inlineStr">
        <is>
          <t>15X13mm
15PCS
15X11.5mm
10PCS
12X11.5mm
10PCS
12X12.2mm
M6X30
15PCS
30PCS
M6X40
Warning: Not suitabte for children
Under 5 Years Due To Smalt parts
MADE IN CHINA
340
40PCS
120PCS
Furniture eccentric wheel
14
+
X
++</t>
        </is>
      </c>
      <c r="M585" t="inlineStr"/>
    </row>
    <row r="586">
      <c r="A586">
        <f>IMAGE("https://http2.mlstatic.com/D_NQ_NP_743733-MLA112361755248_062026-F.webp")</f>
        <v/>
      </c>
      <c r="B586" t="inlineStr">
        <is>
          <t>https://http2.mlstatic.com/D_NQ_NP_743733-MLA112361755248_062026-F.webp</t>
        </is>
      </c>
      <c r="C586" t="inlineStr">
        <is>
          <t>N-dirigido</t>
        </is>
      </c>
      <c r="D586" t="b">
        <v>0</v>
      </c>
      <c r="E586" t="b">
        <v>0</v>
      </c>
      <c r="F586" t="inlineStr">
        <is>
          <t>none</t>
        </is>
      </c>
      <c r="G586" t="inlineStr"/>
      <c r="H586" t="inlineStr">
        <is>
          <t>low</t>
        </is>
      </c>
      <c r="I586" t="inlineStr"/>
      <c r="J586" t="b">
        <v>0</v>
      </c>
      <c r="K586" t="inlineStr"/>
      <c r="L586" t="inlineStr">
        <is>
          <t>Pisos y Cubiertas
Microcemento
Gris Gray
SM SECO
FEGR
QURD
EL ADHESIVO MÁS SEGURO
Microcemento
Pisos y Cubiertas
Microcemento de alta resistencia mecánica para
acabado tipo concreto en pisos y cubiertas
Acabado terse
High mechanical resistance micro-cement for fair
faced concrete finish on floors an</t>
        </is>
      </c>
      <c r="M586" t="inlineStr"/>
    </row>
    <row r="587">
      <c r="A587">
        <f>IMAGE("https://http2.mlstatic.com/D_NQ_NP_798336-CBT109672860215_032026-F.webp")</f>
        <v/>
      </c>
      <c r="B587" t="inlineStr">
        <is>
          <t>https://http2.mlstatic.com/D_NQ_NP_798336-CBT109672860215_032026-F.webp</t>
        </is>
      </c>
      <c r="C587" t="inlineStr">
        <is>
          <t>N-dirigido</t>
        </is>
      </c>
      <c r="D587" t="b">
        <v>0</v>
      </c>
      <c r="E587" t="b">
        <v>0</v>
      </c>
      <c r="F587" t="inlineStr">
        <is>
          <t>none</t>
        </is>
      </c>
      <c r="G587" t="inlineStr"/>
      <c r="H587" t="inlineStr">
        <is>
          <t>low</t>
        </is>
      </c>
      <c r="I587" t="inlineStr"/>
      <c r="J587" t="b">
        <v>0</v>
      </c>
      <c r="K587" t="inlineStr"/>
      <c r="L587" t="inlineStr">
        <is>
          <t>Taylor Swift
DELUXE EDITION
"Shake it off"
SONGWRITING
VOICE MENOS
ARILESS
19
1989
Taylor Swift D.L..X.
reputation
YOUR WHEAT FOR
ALADIOSITY
Taylor Swift
taylor swift
taylor swift.
Midnights
Taulat Swift swi
Speak Now
Taylor Swift
PARENTAL
ADVISORY
Ma
folklore
1989
TAYLOR SWIFT
22
BRAND NEW
PARENTAL</t>
        </is>
      </c>
      <c r="M587" t="inlineStr"/>
    </row>
    <row r="588">
      <c r="A588">
        <f>IMAGE("https://http2.mlstatic.com/D_NQ_NP_726272-MLM102786090385_122025-F.webp")</f>
        <v/>
      </c>
      <c r="B588" t="inlineStr">
        <is>
          <t>https://http2.mlstatic.com/D_NQ_NP_726272-MLM102786090385_122025-F.webp</t>
        </is>
      </c>
      <c r="C588" t="inlineStr">
        <is>
          <t>N-dirigido</t>
        </is>
      </c>
      <c r="D588" t="b">
        <v>0</v>
      </c>
      <c r="E588" t="b">
        <v>0</v>
      </c>
      <c r="F588" t="inlineStr">
        <is>
          <t>none</t>
        </is>
      </c>
      <c r="G588" t="inlineStr"/>
      <c r="H588" t="inlineStr">
        <is>
          <t>low</t>
        </is>
      </c>
      <c r="I588" t="inlineStr"/>
      <c r="J588" t="b">
        <v>0</v>
      </c>
      <c r="K588" t="inlineStr"/>
      <c r="L588" t="inlineStr">
        <is>
          <t>Mail
altercare
care
adrice
APPLY CUTICLE OIL DAILY
REDUCE EXPOSURE TO HEAT (SUNBEDS AND SAUNAS)
AVOID IMMERSING YOUR HANDS IN WATER
WEAR GLOVES WHEN DOING THE WASHING UP OR HOUSEWORK
NEVER PICK OR PEEL THE PRODUCT OFF
BOOK YOUR NEXT APPOINTMENT
Nail Shapes
OVAL
SQUOVAL
ROUNDED
ALMOND
SQUARE
BALLERIN</t>
        </is>
      </c>
      <c r="M588" t="inlineStr"/>
    </row>
    <row r="589">
      <c r="A589">
        <f>IMAGE("https://http2.mlstatic.com/D_NQ_NP_744385-CBT113510522807_062026-F.webp")</f>
        <v/>
      </c>
      <c r="B589" t="inlineStr">
        <is>
          <t>https://http2.mlstatic.com/D_NQ_NP_744385-CBT113510522807_062026-F.webp</t>
        </is>
      </c>
      <c r="C589" t="inlineStr">
        <is>
          <t>N-dirigido</t>
        </is>
      </c>
      <c r="D589" t="b">
        <v>0</v>
      </c>
      <c r="E589" t="b">
        <v>0</v>
      </c>
      <c r="F589" t="inlineStr">
        <is>
          <t>none</t>
        </is>
      </c>
      <c r="G589" t="inlineStr"/>
      <c r="H589" t="inlineStr">
        <is>
          <t>low</t>
        </is>
      </c>
      <c r="I589" t="inlineStr"/>
      <c r="J589" t="b">
        <v>0</v>
      </c>
      <c r="K589" t="inlineStr"/>
      <c r="L589" t="inlineStr">
        <is>
          <t>L1 L2
50A
125V/250V
18000
Joules
Circuit Analyzer
000 POWER ON
OOO OPEN NEUTRAL
000 OPEN GROUND
000 MISSING L1 125V
COO MISSING L2 125V
COL1&amp; NEUTRAL
REVERSED
000 L2&amp; NEUTRAL
REVERSED
000 NO POWER
WARNING: No Surge protection when light is off</t>
        </is>
      </c>
      <c r="M589" t="inlineStr"/>
    </row>
    <row r="590">
      <c r="A590">
        <f>IMAGE("https://http2.mlstatic.com/D_NQ_NP_951310-CBT112448805006_062026-F.webp")</f>
        <v/>
      </c>
      <c r="B590" t="inlineStr">
        <is>
          <t>https://http2.mlstatic.com/D_NQ_NP_951310-CBT112448805006_062026-F.webp</t>
        </is>
      </c>
      <c r="C590" t="inlineStr">
        <is>
          <t>N-dirigido</t>
        </is>
      </c>
      <c r="D590" t="b">
        <v>0</v>
      </c>
      <c r="E590" t="b">
        <v>0</v>
      </c>
      <c r="F590" t="inlineStr">
        <is>
          <t>none</t>
        </is>
      </c>
      <c r="G590" t="inlineStr"/>
      <c r="H590" t="inlineStr">
        <is>
          <t>low</t>
        </is>
      </c>
      <c r="I590" t="inlineStr"/>
      <c r="J590" t="b">
        <v>0</v>
      </c>
      <c r="K590" t="inlineStr"/>
      <c r="L590" t="inlineStr">
        <is>
          <t>ON TIME OFF OFF)
&lt;*
FLASH FADE
&lt;
R
2H
4H
SMOOTH
6H
61
B
W</t>
        </is>
      </c>
      <c r="M590" t="inlineStr"/>
    </row>
    <row r="591">
      <c r="A591">
        <f>IMAGE("https://http2.mlstatic.com/D_NQ_NP_952510-MLM104372051769_012026-F.webp")</f>
        <v/>
      </c>
      <c r="B591" t="inlineStr">
        <is>
          <t>https://http2.mlstatic.com/D_NQ_NP_952510-MLM104372051769_012026-F.webp</t>
        </is>
      </c>
      <c r="C591" t="inlineStr">
        <is>
          <t>N-dirigido</t>
        </is>
      </c>
      <c r="D591" t="b">
        <v>0</v>
      </c>
      <c r="E591" t="b">
        <v>0</v>
      </c>
      <c r="F591" t="inlineStr">
        <is>
          <t>none</t>
        </is>
      </c>
      <c r="G591" t="inlineStr"/>
      <c r="H591" t="inlineStr">
        <is>
          <t>low</t>
        </is>
      </c>
      <c r="I591" t="inlineStr"/>
      <c r="J591" t="b">
        <v>0</v>
      </c>
      <c r="K591" t="inlineStr"/>
      <c r="L591" t="inlineStr">
        <is>
          <t>BRIGHT FLAME
MULTI GUITAR AMP
MIC
LEFT POSITION RIGHT
PRESENCE
VOLUME
BASS
OFF
AXIS
OFF
CENTER
CENTER RESONANCE
AXIS
GAIN
MID
-2x12-
6L6-
AC BRIT-
-4x12-
EL34-
AMERICAN
- 1x12-
KT88-
MS BRIT-
LEFT
RIGHT
STYLE
L
STEREO CABSIM
AMP SIM
TREBLE
PREAMP
MOSKYAUDIO</t>
        </is>
      </c>
      <c r="M591" t="inlineStr"/>
    </row>
    <row r="592">
      <c r="A592">
        <f>IMAGE("https://http2.mlstatic.com/D_NQ_NP_906354-CBT109205367476_042026-F.webp")</f>
        <v/>
      </c>
      <c r="B592" t="inlineStr">
        <is>
          <t>https://http2.mlstatic.com/D_NQ_NP_906354-CBT109205367476_042026-F.webp</t>
        </is>
      </c>
      <c r="C592" t="inlineStr">
        <is>
          <t>N-dirigido</t>
        </is>
      </c>
      <c r="D592" t="b">
        <v>0</v>
      </c>
      <c r="E592" t="b">
        <v>0</v>
      </c>
      <c r="F592" t="inlineStr">
        <is>
          <t>none</t>
        </is>
      </c>
      <c r="G592" t="inlineStr"/>
      <c r="H592" t="inlineStr">
        <is>
          <t>low</t>
        </is>
      </c>
      <c r="I592" t="inlineStr"/>
      <c r="J592" t="b">
        <v>0</v>
      </c>
      <c r="K592" t="inlineStr"/>
      <c r="L592" t="inlineStr">
        <is>
          <t>ZEPHTA
n
ZEPHTA
H-REGROW 2.0
RICE NUTRI SPRAY
NOURISH WITH NATURAL INGREDIENTS
Biotin &amp;
Caffeine Infused
For Thinning Hair &amp;
Hair Loss
1.7FL.oz/50ml
H-REGROW 2.0
RICE NUTRI SPRAY
NOURISH WITH NATURAL INGREDIENTS
Biotin &amp;
Caffeine Infused
For Thinning Hair &amp; Hair Loss
Helps To Promote The
Number Of T</t>
        </is>
      </c>
      <c r="M592" t="inlineStr"/>
    </row>
    <row r="593">
      <c r="A593">
        <f>IMAGE("https://http2.mlstatic.com/D_NQ_NP_955783-CBT112051001798_062026-F.webp")</f>
        <v/>
      </c>
      <c r="B593" t="inlineStr">
        <is>
          <t>https://http2.mlstatic.com/D_NQ_NP_955783-CBT112051001798_062026-F.webp</t>
        </is>
      </c>
      <c r="C593" t="inlineStr">
        <is>
          <t>N-dirigido</t>
        </is>
      </c>
      <c r="D593" t="b">
        <v>0</v>
      </c>
      <c r="E593" t="b">
        <v>0</v>
      </c>
      <c r="F593" t="inlineStr">
        <is>
          <t>none</t>
        </is>
      </c>
      <c r="G593" t="inlineStr"/>
      <c r="H593" t="inlineStr">
        <is>
          <t>low</t>
        </is>
      </c>
      <c r="I593" t="inlineStr"/>
      <c r="J593" t="b">
        <v>0</v>
      </c>
      <c r="K593" t="inlineStr"/>
      <c r="L593" t="inlineStr">
        <is>
          <t xml:space="preserve">420pcs brass Insert nut knurled nut
Inner diameter x length x outer diameter
M4X8X6 M4X10X6
M5X6X7
M5X8X7 M5X10X7
20PCS
M4X6X6
30PCS
30PCS 30PCS
20PCS
20PCS
M3X6X5 M3X8X5 M3X10X5 M4X4X6
30PCS 30PCS 30PCS 30PCS
M2X4X3.5 M2X6X3.5 M2X8X3,5 MM2X10X3.5 M3X4X5
30PCS
30PCS
THKS
30PCS
30PCS
30PCS
Warm tip: </t>
        </is>
      </c>
      <c r="M593" t="inlineStr"/>
    </row>
    <row r="594">
      <c r="A594">
        <f>IMAGE("https://http2.mlstatic.com/D_NQ_NP_727677-CBT113361805915_062026-F.webp")</f>
        <v/>
      </c>
      <c r="B594" t="inlineStr">
        <is>
          <t>https://http2.mlstatic.com/D_NQ_NP_727677-CBT113361805915_062026-F.webp</t>
        </is>
      </c>
      <c r="C594" t="inlineStr">
        <is>
          <t>N-dirigido</t>
        </is>
      </c>
      <c r="D594" t="b">
        <v>0</v>
      </c>
      <c r="E594" t="b">
        <v>0</v>
      </c>
      <c r="F594" t="inlineStr">
        <is>
          <t>none</t>
        </is>
      </c>
      <c r="G594" t="inlineStr"/>
      <c r="H594" t="inlineStr">
        <is>
          <t>low</t>
        </is>
      </c>
      <c r="I594" t="inlineStr"/>
      <c r="J594" t="b">
        <v>0</v>
      </c>
      <c r="K594" t="inlineStr"/>
      <c r="L594" t="inlineStr">
        <is>
          <t>PETERSON
FLUXES
NO. 1 BLUE
for brazing steel, malleable and cast iron welding brass, bronze and copper
WARNING! DUST HARMFUL - AVOID BREATHING DUST
fux when heated gives off fumes that may irritate eyes, nose and throat. Avoid fumes-use
vel ventilated spaces. Avoid contact of flux with eyes and skin</t>
        </is>
      </c>
      <c r="M594" t="inlineStr"/>
    </row>
    <row r="595">
      <c r="A595">
        <f>IMAGE("https://http2.mlstatic.com/D_NQ_NP_830827-MLA112458803716_062026-F.webp")</f>
        <v/>
      </c>
      <c r="B595" t="inlineStr">
        <is>
          <t>https://http2.mlstatic.com/D_NQ_NP_830827-MLA112458803716_062026-F.webp</t>
        </is>
      </c>
      <c r="C595" t="inlineStr">
        <is>
          <t>N-dirigido</t>
        </is>
      </c>
      <c r="D595" t="b">
        <v>0</v>
      </c>
      <c r="E595" t="b">
        <v>0</v>
      </c>
      <c r="F595" t="inlineStr">
        <is>
          <t>none</t>
        </is>
      </c>
      <c r="G595" t="inlineStr"/>
      <c r="H595" t="inlineStr">
        <is>
          <t>low</t>
        </is>
      </c>
      <c r="I595" t="inlineStr"/>
      <c r="J595" t="b">
        <v>0</v>
      </c>
      <c r="K595" t="inlineStr"/>
      <c r="L595" t="inlineStr">
        <is>
          <t>ADVO
Courage
Carnelian
(Ignites confident momentum)
Black Pepper / Ginger/Sandalwood
Scented Candle 7oz
A@VO
Grounded
Smoky Quartz
Promotes stability and grounded calm
Teakwood/Tobacco / Sandalwood
Scented Candle 7oz
A@VO
Resilient
Obsidian
(Strengthens inner resilience)
Oud / Sandalwood / Musk
Scen</t>
        </is>
      </c>
      <c r="M595" t="inlineStr"/>
    </row>
    <row r="596">
      <c r="A596">
        <f>IMAGE("https://http2.mlstatic.com/D_NQ_NP_936935-CBT106076933162_022026-F.webp")</f>
        <v/>
      </c>
      <c r="B596" t="inlineStr">
        <is>
          <t>https://http2.mlstatic.com/D_NQ_NP_936935-CBT106076933162_022026-F.webp</t>
        </is>
      </c>
      <c r="C596" t="inlineStr">
        <is>
          <t>N-dirigido</t>
        </is>
      </c>
      <c r="D596" t="b">
        <v>0</v>
      </c>
      <c r="E596" t="b">
        <v>0</v>
      </c>
      <c r="F596" t="inlineStr">
        <is>
          <t>none</t>
        </is>
      </c>
      <c r="G596" t="inlineStr"/>
      <c r="H596" t="inlineStr">
        <is>
          <t>low</t>
        </is>
      </c>
      <c r="I596" t="inlineStr"/>
      <c r="J596" t="b">
        <v>0</v>
      </c>
      <c r="K596" t="inlineStr"/>
      <c r="L596" t="inlineStr">
        <is>
          <t>MPPT
Solar charge controller
Operate Mode
Select
0.4
2 87.4 -
RESET
Manual
OK
ط'
MENU ON OFF
12/24/36/48V AUTO</t>
        </is>
      </c>
      <c r="M596" t="inlineStr"/>
    </row>
    <row r="597">
      <c r="A597">
        <f>IMAGE("https://http2.mlstatic.com/D_NQ_NP_842001-MLM113186342797_062026-F.webp")</f>
        <v/>
      </c>
      <c r="B597" t="inlineStr">
        <is>
          <t>https://http2.mlstatic.com/D_NQ_NP_842001-MLM113186342797_062026-F.webp</t>
        </is>
      </c>
      <c r="C597" t="inlineStr">
        <is>
          <t>N-dirigido</t>
        </is>
      </c>
      <c r="D597" t="b">
        <v>0</v>
      </c>
      <c r="E597" t="b">
        <v>0</v>
      </c>
      <c r="F597" t="inlineStr">
        <is>
          <t>none</t>
        </is>
      </c>
      <c r="G597" t="inlineStr"/>
      <c r="H597" t="inlineStr">
        <is>
          <t>low</t>
        </is>
      </c>
      <c r="I597" t="inlineStr"/>
      <c r="J597" t="b">
        <v>0</v>
      </c>
      <c r="K597" t="inlineStr"/>
      <c r="L597" t="inlineStr">
        <is>
          <t>Dr
Addict
LIP GLOW
COLOR REVIVA DUO
UP GLOW
2x180
2x NET WT 006 OZ
Dr</t>
        </is>
      </c>
      <c r="M597" t="inlineStr"/>
    </row>
    <row r="598">
      <c r="A598">
        <f>IMAGE("https://http2.mlstatic.com/D_NQ_NP_680130-MLM104720396710_012026-F.webp")</f>
        <v/>
      </c>
      <c r="B598" t="inlineStr">
        <is>
          <t>https://http2.mlstatic.com/D_NQ_NP_680130-MLM104720396710_012026-F.webp</t>
        </is>
      </c>
      <c r="C598" t="inlineStr">
        <is>
          <t>N-dirigido</t>
        </is>
      </c>
      <c r="D598" t="b">
        <v>0</v>
      </c>
      <c r="E598" t="b">
        <v>0</v>
      </c>
      <c r="F598" t="inlineStr">
        <is>
          <t>none</t>
        </is>
      </c>
      <c r="G598" t="inlineStr"/>
      <c r="H598" t="inlineStr">
        <is>
          <t>low</t>
        </is>
      </c>
      <c r="I598" t="inlineStr"/>
      <c r="J598" t="b">
        <v>0</v>
      </c>
      <c r="K598" t="inlineStr"/>
      <c r="L598" t="inlineStr">
        <is>
          <t>ARBUTIN 7.0+ TXA 4.0 CREAM7%
POWERFUL ACTIVE INGREDIENTS
ARBUTIN 7% TRANEXAMIC ACID 4%
Advanced Treatment with 7% Arbutin and 4% Tranexamic Acid is formulated to help even
out skin tone and promote radiant skin
50 ml/1.69 fl. oz.
TOSOWOONG</t>
        </is>
      </c>
      <c r="M598" t="inlineStr"/>
    </row>
    <row r="599">
      <c r="A599">
        <f>IMAGE("https://http2.mlstatic.com/D_NQ_NP_738348-CBT83506459157_042025-F.webp")</f>
        <v/>
      </c>
      <c r="B599" t="inlineStr">
        <is>
          <t>https://http2.mlstatic.com/D_NQ_NP_738348-CBT83506459157_042025-F.webp</t>
        </is>
      </c>
      <c r="C599" t="inlineStr">
        <is>
          <t>N-dirigido</t>
        </is>
      </c>
      <c r="D599" t="b">
        <v>0</v>
      </c>
      <c r="E599" t="b">
        <v>0</v>
      </c>
      <c r="F599" t="inlineStr">
        <is>
          <t>none</t>
        </is>
      </c>
      <c r="G599" t="inlineStr"/>
      <c r="H599" t="inlineStr">
        <is>
          <t>low</t>
        </is>
      </c>
      <c r="I599" t="inlineStr"/>
      <c r="J599" t="b">
        <v>0</v>
      </c>
      <c r="K599" t="inlineStr"/>
      <c r="L599" t="inlineStr">
        <is>
          <t>5 2AD WELDING PEN
ON OFFISTEP
。。。。。
POWER LEVEL
SPOT WELDING Pro
U</t>
        </is>
      </c>
      <c r="M599" t="inlineStr"/>
    </row>
    <row r="600">
      <c r="A600">
        <f>IMAGE("https://http2.mlstatic.com/D_NQ_NP_894822-MLM44324430325_122020-F.webp")</f>
        <v/>
      </c>
      <c r="B600" t="inlineStr">
        <is>
          <t>https://http2.mlstatic.com/D_NQ_NP_894822-MLM44324430325_122020-F.webp</t>
        </is>
      </c>
      <c r="C600" t="inlineStr">
        <is>
          <t>N-dirigido</t>
        </is>
      </c>
      <c r="D600" t="b">
        <v>0</v>
      </c>
      <c r="E600" t="b">
        <v>0</v>
      </c>
      <c r="F600" t="inlineStr">
        <is>
          <t>none</t>
        </is>
      </c>
      <c r="G600" t="inlineStr"/>
      <c r="H600" t="inlineStr">
        <is>
          <t>low</t>
        </is>
      </c>
      <c r="I600" t="inlineStr"/>
      <c r="J600" t="b">
        <v>0</v>
      </c>
      <c r="K600" t="inlineStr"/>
      <c r="L600" t="inlineStr">
        <is>
          <t xml:space="preserve">ODA OFFEE BABY </t>
        </is>
      </c>
      <c r="M600" t="inlineStr"/>
    </row>
    <row r="601">
      <c r="A601">
        <f>IMAGE("https://http2.mlstatic.com/D_NQ_NP_999143-MLM100106843855_122025-F.webp")</f>
        <v/>
      </c>
      <c r="B601" t="inlineStr">
        <is>
          <t>https://http2.mlstatic.com/D_NQ_NP_999143-MLM100106843855_122025-F.webp</t>
        </is>
      </c>
      <c r="C601" t="inlineStr">
        <is>
          <t>N-dirigido</t>
        </is>
      </c>
      <c r="D601" t="b">
        <v>0</v>
      </c>
      <c r="E601" t="b">
        <v>0</v>
      </c>
      <c r="F601" t="inlineStr">
        <is>
          <t>none</t>
        </is>
      </c>
      <c r="G601" t="inlineStr"/>
      <c r="H601" t="inlineStr">
        <is>
          <t>low</t>
        </is>
      </c>
      <c r="I601" t="inlineStr"/>
      <c r="J601" t="b">
        <v>0</v>
      </c>
      <c r="K601" t="inlineStr"/>
      <c r="L601" t="inlineStr">
        <is>
          <t>smokebuddy
BLOW
Personal Air Filter J.
SMOKE IN
okes
mokebuddy
KEEP YOUR SMOKE
TO YOURSELF"
Ideal for:
- Home
- Office
- Travel
Junior
- Pocket Size
- Eliminates Odor
- Removes Smoke
- Convenient
- High Quality
- Reduces Second Hand Smoke
CLEAN AIR OUT</t>
        </is>
      </c>
      <c r="M601" t="inlineStr"/>
    </row>
    <row r="602">
      <c r="A602">
        <f>IMAGE("https://http2.mlstatic.com/D_NQ_NP_688979-MLM102694266211_122025-F.webp")</f>
        <v/>
      </c>
      <c r="B602" t="inlineStr">
        <is>
          <t>https://http2.mlstatic.com/D_NQ_NP_688979-MLM102694266211_122025-F.webp</t>
        </is>
      </c>
      <c r="C602" t="inlineStr">
        <is>
          <t>N-dirigido</t>
        </is>
      </c>
      <c r="D602" t="b">
        <v>0</v>
      </c>
      <c r="E602" t="b">
        <v>0</v>
      </c>
      <c r="F602" t="inlineStr">
        <is>
          <t>none</t>
        </is>
      </c>
      <c r="G602" t="inlineStr"/>
      <c r="H602" t="inlineStr">
        <is>
          <t>low</t>
        </is>
      </c>
      <c r="I602" t="inlineStr"/>
      <c r="J602" t="b">
        <v>0</v>
      </c>
      <c r="K602" t="inlineStr"/>
      <c r="L602" t="inlineStr">
        <is>
          <t>Z Input
Wi-Fi smart switch
ON I OFF
Wi-Fi:IEEE 802.11 b/g/n
Input:AC90-250V50/60Hz
Maxload: 10A
RoHs
||
Output Z
●</t>
        </is>
      </c>
      <c r="M602" t="inlineStr"/>
    </row>
    <row r="603">
      <c r="A603">
        <f>IMAGE("https://http2.mlstatic.com/D_NQ_NP_612335-CBT112222323440_062026-F.webp")</f>
        <v/>
      </c>
      <c r="B603" t="inlineStr">
        <is>
          <t>https://http2.mlstatic.com/D_NQ_NP_612335-CBT112222323440_062026-F.webp</t>
        </is>
      </c>
      <c r="C603" t="inlineStr">
        <is>
          <t>N-dirigido</t>
        </is>
      </c>
      <c r="D603" t="b">
        <v>0</v>
      </c>
      <c r="E603" t="b">
        <v>0</v>
      </c>
      <c r="F603" t="inlineStr">
        <is>
          <t>none</t>
        </is>
      </c>
      <c r="G603" t="inlineStr"/>
      <c r="H603" t="inlineStr">
        <is>
          <t>low</t>
        </is>
      </c>
      <c r="I603" t="inlineStr"/>
      <c r="J603" t="b">
        <v>0</v>
      </c>
      <c r="K603" t="inlineStr"/>
      <c r="L603" t="inlineStr">
        <is>
          <t>15cm
A5 22X15cm
22cm
2
3
4
CUTTING MAT
22X 15 CM
TA5
5
60°
6
7
8
9
10
11
12
5
6
7
8
9
10
11 12 13
14
15 16 17 18
19
20
45
30°
2 3 4 5 6 7 8
1
2
3
4
5
6
7
8
9
10
10
11
13
1
2
3
5
7
8
9
10
11
12
13
14
15
16
17
18
19
20
12</t>
        </is>
      </c>
      <c r="M603" t="inlineStr"/>
    </row>
    <row r="604">
      <c r="A604">
        <f>IMAGE("https://http2.mlstatic.com/D_NQ_NP_854354-CBT110413738300_052026-F.webp")</f>
        <v/>
      </c>
      <c r="B604" t="inlineStr">
        <is>
          <t>https://http2.mlstatic.com/D_NQ_NP_854354-CBT110413738300_052026-F.webp</t>
        </is>
      </c>
      <c r="C604" t="inlineStr">
        <is>
          <t>N-dirigido</t>
        </is>
      </c>
      <c r="D604" t="b">
        <v>0</v>
      </c>
      <c r="E604" t="b">
        <v>0</v>
      </c>
      <c r="F604" t="inlineStr">
        <is>
          <t>none</t>
        </is>
      </c>
      <c r="G604" t="inlineStr"/>
      <c r="H604" t="inlineStr">
        <is>
          <t>low</t>
        </is>
      </c>
      <c r="I604" t="inlineStr"/>
      <c r="J604" t="b">
        <v>0</v>
      </c>
      <c r="K604" t="inlineStr"/>
      <c r="L604" t="inlineStr">
        <is>
          <t>SUPPORTS
BONE HEALTH*
PROMOTES
HEALTHY SKIN*
CERTIFIED
ORGANIC
ONE A DAY!
USDA
ORGANIC
TROPICAL
OASIS
YOUR VITAMINS FOR LIFE
CHILDREN'S
VITAMIN
D3+ K2
IMMUNITY BOOST
BONE SUPPORT
SKIN HEALTH
HELPS BOOST
IMMUNE SYSTEM*
GREAT TASTING*
For Kids &amp; Toddlers Ages 1+. Give 1 Drop of Our Liquid Vitamin D3+K</t>
        </is>
      </c>
      <c r="M604" t="inlineStr"/>
    </row>
    <row r="605">
      <c r="A605">
        <f>IMAGE("https://http2.mlstatic.com/D_NQ_NP_664371-CBT85395032228_062025-F.webp")</f>
        <v/>
      </c>
      <c r="B605" t="inlineStr">
        <is>
          <t>https://http2.mlstatic.com/D_NQ_NP_664371-CBT85395032228_062025-F.webp</t>
        </is>
      </c>
      <c r="C605" t="inlineStr">
        <is>
          <t>N-dirigido</t>
        </is>
      </c>
      <c r="D605" t="b">
        <v>0</v>
      </c>
      <c r="E605" t="b">
        <v>0</v>
      </c>
      <c r="F605" t="inlineStr">
        <is>
          <t>none</t>
        </is>
      </c>
      <c r="G605" t="inlineStr"/>
      <c r="H605" t="inlineStr">
        <is>
          <t>low</t>
        </is>
      </c>
      <c r="I605" t="inlineStr"/>
      <c r="J605" t="b">
        <v>0</v>
      </c>
      <c r="K605" t="inlineStr"/>
      <c r="L605" t="inlineStr">
        <is>
          <t>AUTO
TIME
RUN TIME
004 0:11
SET TIME PROG ON OFF</t>
        </is>
      </c>
      <c r="M605" t="inlineStr"/>
    </row>
    <row r="606">
      <c r="A606">
        <f>IMAGE("https://http2.mlstatic.com/D_NQ_NP_639481-CBT106878975288_022026-F.webp")</f>
        <v/>
      </c>
      <c r="B606" t="inlineStr">
        <is>
          <t>https://http2.mlstatic.com/D_NQ_NP_639481-CBT106878975288_022026-F.webp</t>
        </is>
      </c>
      <c r="C606" t="inlineStr">
        <is>
          <t>N-dirigido</t>
        </is>
      </c>
      <c r="D606" t="b">
        <v>0</v>
      </c>
      <c r="E606" t="b">
        <v>0</v>
      </c>
      <c r="F606" t="inlineStr">
        <is>
          <t>none</t>
        </is>
      </c>
      <c r="G606" t="inlineStr"/>
      <c r="H606" t="inlineStr">
        <is>
          <t>low</t>
        </is>
      </c>
      <c r="I606" t="inlineStr"/>
      <c r="J606" t="b">
        <v>0</v>
      </c>
      <c r="K606" t="inlineStr"/>
      <c r="L606" t="inlineStr">
        <is>
          <t>ON OFF
1.0 0.5 0.3 0.1 0.03
DIAN
DIAMOND
Low Battery</t>
        </is>
      </c>
      <c r="M606" t="inlineStr"/>
    </row>
    <row r="607">
      <c r="A607">
        <f>IMAGE("https://http2.mlstatic.com/D_NQ_NP_782674-MLM113658522301_062026-F.webp")</f>
        <v/>
      </c>
      <c r="B607" t="inlineStr">
        <is>
          <t>https://http2.mlstatic.com/D_NQ_NP_782674-MLM113658522301_062026-F.webp</t>
        </is>
      </c>
      <c r="C607" t="inlineStr">
        <is>
          <t>N-dirigido</t>
        </is>
      </c>
      <c r="D607" t="b">
        <v>0</v>
      </c>
      <c r="E607" t="b">
        <v>0</v>
      </c>
      <c r="F607" t="inlineStr">
        <is>
          <t>none</t>
        </is>
      </c>
      <c r="G607" t="inlineStr"/>
      <c r="H607" t="inlineStr">
        <is>
          <t>low</t>
        </is>
      </c>
      <c r="I607" t="inlineStr"/>
      <c r="J607" t="b">
        <v>0</v>
      </c>
      <c r="K607" t="inlineStr"/>
      <c r="L607" t="inlineStr">
        <is>
          <t>12'X20'
FINISHED SIZE
MULTI-PURPOSE
TARP
CARTMAN
Lawn &amp; Garden
10
MIL
WATERPROOF
12x12 WEAVE COUNT
UV RESISTANT
STRONG GROMMETS
REINFORCED EDGES
VERSATILE IN USE
ARTMAN
UV</t>
        </is>
      </c>
      <c r="M607" t="inlineStr"/>
    </row>
    <row r="608">
      <c r="A608">
        <f>IMAGE("https://http2.mlstatic.com/D_NQ_NP_723137-MLM105223751758_012026-F.webp")</f>
        <v/>
      </c>
      <c r="B608" t="inlineStr">
        <is>
          <t>https://http2.mlstatic.com/D_NQ_NP_723137-MLM105223751758_012026-F.webp</t>
        </is>
      </c>
      <c r="C608" t="inlineStr">
        <is>
          <t>N-dirigido</t>
        </is>
      </c>
      <c r="D608" t="b">
        <v>0</v>
      </c>
      <c r="E608" t="b">
        <v>0</v>
      </c>
      <c r="F608" t="inlineStr">
        <is>
          <t>none</t>
        </is>
      </c>
      <c r="G608" t="inlineStr"/>
      <c r="H608" t="inlineStr">
        <is>
          <t>low</t>
        </is>
      </c>
      <c r="I608" t="inlineStr"/>
      <c r="J608" t="b">
        <v>0</v>
      </c>
      <c r="K608" t="inlineStr"/>
      <c r="L608" t="inlineStr">
        <is>
          <t>ON OFF</t>
        </is>
      </c>
      <c r="M608" t="inlineStr"/>
    </row>
    <row r="609">
      <c r="A609">
        <f>IMAGE("https://http2.mlstatic.com/D_NQ_NP_700628-CBT113665474441_062026-F.webp")</f>
        <v/>
      </c>
      <c r="B609" t="inlineStr">
        <is>
          <t>https://http2.mlstatic.com/D_NQ_NP_700628-CBT113665474441_062026-F.webp</t>
        </is>
      </c>
      <c r="C609" t="inlineStr">
        <is>
          <t>N-dirigido</t>
        </is>
      </c>
      <c r="D609" t="b">
        <v>0</v>
      </c>
      <c r="E609" t="b">
        <v>0</v>
      </c>
      <c r="F609" t="inlineStr">
        <is>
          <t>none</t>
        </is>
      </c>
      <c r="G609" t="inlineStr">
        <is>
          <t>text on the product</t>
        </is>
      </c>
      <c r="H609" t="inlineStr">
        <is>
          <t>medium</t>
        </is>
      </c>
      <c r="I609" t="inlineStr"/>
      <c r="J609" t="b">
        <v>0</v>
      </c>
      <c r="K609" t="inlineStr"/>
      <c r="L609" t="inlineStr">
        <is>
          <t>NO
ON OFF ON
ZENGTAI
223 15A 250VAC CE</t>
        </is>
      </c>
      <c r="M609" t="inlineStr"/>
    </row>
    <row r="610">
      <c r="A610">
        <f>IMAGE("https://http2.mlstatic.com/D_NQ_NP_794643-CBT104035133377_012026-F.webp")</f>
        <v/>
      </c>
      <c r="B610" t="inlineStr">
        <is>
          <t>https://http2.mlstatic.com/D_NQ_NP_794643-CBT104035133377_012026-F.webp</t>
        </is>
      </c>
      <c r="C610" t="inlineStr">
        <is>
          <t>N-dirigido</t>
        </is>
      </c>
      <c r="D610" t="b">
        <v>0</v>
      </c>
      <c r="E610" t="b">
        <v>0</v>
      </c>
      <c r="F610" t="inlineStr">
        <is>
          <t>none</t>
        </is>
      </c>
      <c r="G610" t="inlineStr"/>
      <c r="H610" t="inlineStr">
        <is>
          <t>low</t>
        </is>
      </c>
      <c r="I610" t="inlineStr"/>
      <c r="J610" t="b">
        <v>0</v>
      </c>
      <c r="K610" t="inlineStr"/>
      <c r="L610" t="inlineStr">
        <is>
          <t>PV-
PV OFF
-A
-V
ENVIRONMENT ---C
+
-
LOAD-
LOAD OFF---
V
LOAD ON-
V
TIME----H
SOLAR 80
Solar
Battery
Load
+</t>
        </is>
      </c>
      <c r="M610" t="inlineStr"/>
    </row>
    <row r="611">
      <c r="A611">
        <f>IMAGE("https://http2.mlstatic.com/D_NQ_NP_640342-CBT109313879423_032026-F.webp")</f>
        <v/>
      </c>
      <c r="B611" t="inlineStr">
        <is>
          <t>https://http2.mlstatic.com/D_NQ_NP_640342-CBT109313879423_032026-F.webp</t>
        </is>
      </c>
      <c r="C611" t="inlineStr">
        <is>
          <t>N-dirigido</t>
        </is>
      </c>
      <c r="D611" t="b">
        <v>0</v>
      </c>
      <c r="E611" t="b">
        <v>0</v>
      </c>
      <c r="F611" t="inlineStr">
        <is>
          <t>none</t>
        </is>
      </c>
      <c r="G611" t="inlineStr"/>
      <c r="H611" t="inlineStr">
        <is>
          <t>low</t>
        </is>
      </c>
      <c r="I611" t="inlineStr"/>
      <c r="J611" t="b">
        <v>0</v>
      </c>
      <c r="K611" t="inlineStr"/>
      <c r="L611" t="inlineStr">
        <is>
          <t>D1 50L
D1 65L
D1 70L
D1 PH2X90L
D1 PH2X150L</t>
        </is>
      </c>
      <c r="M611" t="inlineStr"/>
    </row>
    <row r="612">
      <c r="A612">
        <f>IMAGE("https://http2.mlstatic.com/D_NQ_NP_836652-MLM106249753659_012026-F.webp")</f>
        <v/>
      </c>
      <c r="B612" t="inlineStr">
        <is>
          <t>https://http2.mlstatic.com/D_NQ_NP_836652-MLM106249753659_012026-F.webp</t>
        </is>
      </c>
      <c r="C612" t="inlineStr">
        <is>
          <t>N-dirigido</t>
        </is>
      </c>
      <c r="D612" t="b">
        <v>0</v>
      </c>
      <c r="E612" t="inlineStr"/>
      <c r="F612" t="inlineStr"/>
      <c r="G612" t="inlineStr">
        <is>
          <t>PARSE_ERROR: !!!!!!!!!!!!!!!!!!!!!!!!!!!!!!!!!!!!!!!!!!!!!!!!!!!!!!!!!!!!!!!!!!!!!!!!!!!!!!!!!!!!!!!!!!!!!!!!!!!!!!!!!!!!!!!!!!!!!!!!!!!!!!!!!!!!!!!!!!!!!!!!!!!!!!!!!!!!!!!!!!!!!!!!!!!!!!!!!!!!!!!!!!!!!!!!!!!!!!!!</t>
        </is>
      </c>
      <c r="H612" t="inlineStr"/>
      <c r="I612" t="b">
        <v>0</v>
      </c>
      <c r="J612" t="b">
        <v>0</v>
      </c>
      <c r="K612" t="inlineStr"/>
      <c r="L612" t="inlineStr">
        <is>
          <t>EXCALVO
SHAMPOO
Rosemary oil &amp;
Red onion &amp; Cinnamon
Estimula los folículos pilosos
Promover el crecimiento
del cabello
Reduce la calda del cabello
7oz / 200ml</t>
        </is>
      </c>
      <c r="M612" t="inlineStr"/>
    </row>
    <row r="613">
      <c r="A613">
        <f>IMAGE("https://http2.mlstatic.com/D_NQ_NP_626161-CBT113412432495_062026-F.webp")</f>
        <v/>
      </c>
      <c r="B613" t="inlineStr">
        <is>
          <t>https://http2.mlstatic.com/D_NQ_NP_626161-CBT113412432495_062026-F.webp</t>
        </is>
      </c>
      <c r="C613" t="inlineStr">
        <is>
          <t>N-dirigido</t>
        </is>
      </c>
      <c r="D613" t="b">
        <v>0</v>
      </c>
      <c r="E613" t="b">
        <v>0</v>
      </c>
      <c r="F613" t="inlineStr">
        <is>
          <t>none</t>
        </is>
      </c>
      <c r="G613" t="inlineStr"/>
      <c r="H613" t="inlineStr">
        <is>
          <t>low</t>
        </is>
      </c>
      <c r="I613" t="inlineStr"/>
      <c r="J613" t="b">
        <v>0</v>
      </c>
      <c r="K613" t="inlineStr"/>
      <c r="L613" t="inlineStr">
        <is>
          <t>Ealyder Ta
Ealyder Tape
Ealyder Tap
Ealydey Tape
Ealyder
Ealyder Tape
Ealyder Tape
ပြာ
LONG LASTING HIGH TOUGHNESS
SUPER STICK
HIGH TRANSPARENCY
50mm X 55m/Roll
18
Moving Packaging Shipping Box and Carton Sealing
55m
Length / Roll
Product Name: Packing Tape
50mm
60mic
Width / Roll
THICK
Manufacturer</t>
        </is>
      </c>
      <c r="M613" t="inlineStr"/>
    </row>
    <row r="614">
      <c r="A614">
        <f>IMAGE("https://http2.mlstatic.com/D_NQ_NP_661141-CBT87585563651_072025-F.webp")</f>
        <v/>
      </c>
      <c r="B614" t="inlineStr">
        <is>
          <t>https://http2.mlstatic.com/D_NQ_NP_661141-CBT87585563651_072025-F.webp</t>
        </is>
      </c>
      <c r="C614" t="inlineStr">
        <is>
          <t>N-dirigido</t>
        </is>
      </c>
      <c r="D614" t="b">
        <v>0</v>
      </c>
      <c r="E614" t="b">
        <v>0</v>
      </c>
      <c r="F614" t="inlineStr">
        <is>
          <t>none</t>
        </is>
      </c>
      <c r="G614" t="inlineStr"/>
      <c r="H614" t="inlineStr">
        <is>
          <t>low</t>
        </is>
      </c>
      <c r="I614" t="inlineStr"/>
      <c r="J614" t="b">
        <v>0</v>
      </c>
      <c r="K614" t="inlineStr"/>
      <c r="L614" t="inlineStr">
        <is>
          <t>the stor
job was t
would all
and
6 Stiffs
d in time
ng in a place
1 done, so they
ey stondESEN
for act
the
and results
the Ho
€
hael said. "Then when I heard
foved My Cheese?, I realized my
picture of Cheese' that we
ory offided to be e
rewarded
rewarded
that brought
in a compatry
and Haws? Ange
767</t>
        </is>
      </c>
      <c r="M614" t="inlineStr"/>
    </row>
    <row r="615">
      <c r="A615">
        <f>IMAGE("https://http2.mlstatic.com/D_NQ_NP_629536-CBT112294344100_062026-F.webp")</f>
        <v/>
      </c>
      <c r="B615" t="inlineStr">
        <is>
          <t>https://http2.mlstatic.com/D_NQ_NP_629536-CBT112294344100_062026-F.webp</t>
        </is>
      </c>
      <c r="C615" t="inlineStr">
        <is>
          <t>N-dirigido</t>
        </is>
      </c>
      <c r="D615" t="b">
        <v>0</v>
      </c>
      <c r="E615" t="b">
        <v>0</v>
      </c>
      <c r="F615" t="inlineStr">
        <is>
          <t>none</t>
        </is>
      </c>
      <c r="G615" t="inlineStr"/>
      <c r="H615" t="inlineStr">
        <is>
          <t>low</t>
        </is>
      </c>
      <c r="I615" t="inlineStr"/>
      <c r="J615" t="b">
        <v>0</v>
      </c>
      <c r="K615" t="inlineStr"/>
      <c r="L615" t="inlineStr">
        <is>
          <t>Galaxy S8
S8
ASDAWN
THE OPENING TOOL
Hi friend, if you don't know how to repair?
Please do not worry about that, just believe in yourself
You can browse the video on YouTube which can make you faster and better sour phone
bune Athe same time.please combine.et Installation Instruction
How to repair
1</t>
        </is>
      </c>
      <c r="M615" t="inlineStr"/>
    </row>
    <row r="616">
      <c r="A616">
        <f>IMAGE("https://http2.mlstatic.com/D_NQ_NP_941516-MLA113572663587_062026-F.webp")</f>
        <v/>
      </c>
      <c r="B616" t="inlineStr">
        <is>
          <t>https://http2.mlstatic.com/D_NQ_NP_941516-MLA113572663587_062026-F.webp</t>
        </is>
      </c>
      <c r="C616" t="inlineStr">
        <is>
          <t>N-dirigido</t>
        </is>
      </c>
      <c r="D616" t="b">
        <v>0</v>
      </c>
      <c r="E616" t="b">
        <v>1</v>
      </c>
      <c r="F616" t="inlineStr">
        <is>
          <t>badge</t>
        </is>
      </c>
      <c r="G616" t="inlineStr">
        <is>
          <t>text overlay</t>
        </is>
      </c>
      <c r="H616" t="inlineStr">
        <is>
          <t>high</t>
        </is>
      </c>
      <c r="I616" t="b">
        <v>0</v>
      </c>
      <c r="J616" t="b">
        <v>0</v>
      </c>
      <c r="K616" t="inlineStr"/>
      <c r="L616" t="inlineStr">
        <is>
          <t xml:space="preserve">STUDY
CNML GUIDE
2025-2026
COMPLETE REVIEW WITH 10 FULL-LENGTH PRACTICE TESTS, 1,500+
HIGH-YIELD QUESTIONS, AND PROVEN STRATEGIES TO PASS THE
CERTIFIED NURSE MANAGER AND LEADER EXAM
98%
PASS RATE AT
FIRST TRY
10 FULL-LENGTH
PRACTICE TESTS
1,500+
QUESTIONS
500 DIGITAL
FLASHCARDS
CHARLES K. BEAN
This </t>
        </is>
      </c>
      <c r="M616" t="inlineStr"/>
    </row>
    <row r="617">
      <c r="A617">
        <f>IMAGE("https://http2.mlstatic.com/D_NQ_NP_828213-CBT112183029390_062026-F.webp")</f>
        <v/>
      </c>
      <c r="B617" t="inlineStr">
        <is>
          <t>https://http2.mlstatic.com/D_NQ_NP_828213-CBT112183029390_062026-F.webp</t>
        </is>
      </c>
      <c r="C617" t="inlineStr">
        <is>
          <t>N-dirigido</t>
        </is>
      </c>
      <c r="D617" t="b">
        <v>0</v>
      </c>
      <c r="E617" t="b">
        <v>0</v>
      </c>
      <c r="F617" t="inlineStr">
        <is>
          <t>none</t>
        </is>
      </c>
      <c r="G617" t="inlineStr"/>
      <c r="H617" t="inlineStr">
        <is>
          <t>low</t>
        </is>
      </c>
      <c r="I617" t="inlineStr"/>
      <c r="J617" t="b">
        <v>0</v>
      </c>
      <c r="K617" t="inlineStr"/>
      <c r="L617" t="inlineStr">
        <is>
          <t>CB-125A
100A
CCC
τον
230V-50Hz
60V/110V =
Uimp=4kV li=8ln(C)
IEC 60947-2
GB/T 14048.2 + 1 ON
Ca
互锁附件
DZ47-H
NR
CB-125A
100A
230V-50Hz
60V/110V
Uimp=4kV li=8ln(C)
IEC 60947-2
I ON
GB/T 14048.O OFF
48.11
Cat.A
TÜV</t>
        </is>
      </c>
      <c r="M617" t="inlineStr"/>
    </row>
    <row r="618">
      <c r="A618">
        <f>IMAGE("https://http2.mlstatic.com/D_NQ_NP_743060-CBT113598636701_062026-F.webp")</f>
        <v/>
      </c>
      <c r="B618" t="inlineStr">
        <is>
          <t>https://http2.mlstatic.com/D_NQ_NP_743060-CBT113598636701_062026-F.webp</t>
        </is>
      </c>
      <c r="C618" t="inlineStr">
        <is>
          <t>N-dirigido</t>
        </is>
      </c>
      <c r="D618" t="b">
        <v>0</v>
      </c>
      <c r="E618" t="b">
        <v>0</v>
      </c>
      <c r="F618" t="inlineStr">
        <is>
          <t>none</t>
        </is>
      </c>
      <c r="G618" t="inlineStr"/>
      <c r="H618" t="inlineStr">
        <is>
          <t>high</t>
        </is>
      </c>
      <c r="I618" t="inlineStr"/>
      <c r="J618" t="b">
        <v>0</v>
      </c>
      <c r="K618" t="inlineStr"/>
      <c r="L618" t="inlineStr">
        <is>
          <t>4
超硬直柄立铣刀 HSS-AL.
12X12X26X83
GB/T6118-1996 检验
超硬直柄立铣刀
HSS-AI
4齿 10X10X22X72
GB/T6118-1996 检验
超硬直柄立铣刀 HSS-AL
458x8x19x63
GB/T6118-1996检验
超硬直柄立铣刀 HSS-AI
46X6X13X57
GB/T6118-1996检验
超硬直柄立铣刀 HSS-AI
44X6X11X55
GB/T6118-1996检验</t>
        </is>
      </c>
      <c r="M618" t="inlineStr"/>
    </row>
    <row r="619">
      <c r="A619">
        <f>IMAGE("https://http2.mlstatic.com/D_NQ_NP_761896-MLM113454991345_062026-F.webp")</f>
        <v/>
      </c>
      <c r="B619" t="inlineStr">
        <is>
          <t>https://http2.mlstatic.com/D_NQ_NP_761896-MLM113454991345_062026-F.webp</t>
        </is>
      </c>
      <c r="C619" t="inlineStr">
        <is>
          <t>N-dirigido</t>
        </is>
      </c>
      <c r="D619" t="b">
        <v>0</v>
      </c>
      <c r="E619" t="inlineStr"/>
      <c r="F619" t="inlineStr"/>
      <c r="G619" t="inlineStr">
        <is>
          <t>PARSE_ERROR: !!!!!!!!!!!!!!!!!!!!!!!!!!!!!!!!!!!!!!!!!!!!!!!!!!!!!!!!!!!!!!!!!!!!!!!!!!!!!!!!!!!!!!!!!!!!!!!!!!!!!!!!!!!!!!!!!!!!!!!!!!!!!!!!!!!!!!!!!!!!!!!!!!!!!!!!!!!!!!!!!!!!!!!!!!!!!!!!!!!!!!!!!!!!!!!!!!!!!!!!</t>
        </is>
      </c>
      <c r="H619" t="inlineStr"/>
      <c r="I619" t="b">
        <v>0</v>
      </c>
      <c r="J619" t="b">
        <v>0</v>
      </c>
      <c r="K619" t="inlineStr"/>
      <c r="L619" t="inlineStr">
        <is>
          <t>CAPITAL
FAMILY OFFICE</t>
        </is>
      </c>
      <c r="M619" t="inlineStr"/>
    </row>
    <row r="620">
      <c r="A620">
        <f>IMAGE("https://http2.mlstatic.com/D_NQ_NP_881830-MLA112399573334_062026-F.webp")</f>
        <v/>
      </c>
      <c r="B620" t="inlineStr">
        <is>
          <t>https://http2.mlstatic.com/D_NQ_NP_881830-MLA112399573334_062026-F.webp</t>
        </is>
      </c>
      <c r="C620" t="inlineStr">
        <is>
          <t>N-dirigido</t>
        </is>
      </c>
      <c r="D620" t="b">
        <v>0</v>
      </c>
      <c r="E620" t="b">
        <v>0</v>
      </c>
      <c r="F620" t="inlineStr">
        <is>
          <t>none</t>
        </is>
      </c>
      <c r="G620" t="inlineStr"/>
      <c r="H620" t="inlineStr">
        <is>
          <t>low</t>
        </is>
      </c>
      <c r="I620" t="inlineStr"/>
      <c r="J620" t="b">
        <v>0</v>
      </c>
      <c r="K620" t="inlineStr"/>
      <c r="L620" t="inlineStr">
        <is>
          <t>About this item
PLAIN AROMA BEADS:Clear unscented aroma beads.
These natural air freshener beads will hold at least 20% of
their weight in fragrance oil to make great air fresheners
HIGH QUALITY NATURAL AIR FRESHENER FOR HOME:
These beads are made ofhigh-quality EVA material, which
has good flexibil</t>
        </is>
      </c>
      <c r="M620" t="inlineStr"/>
    </row>
    <row r="621">
      <c r="A621">
        <f>IMAGE("https://http2.mlstatic.com/D_NQ_NP_784600-CBT76428803622_052024-F.webp")</f>
        <v/>
      </c>
      <c r="B621" t="inlineStr">
        <is>
          <t>https://http2.mlstatic.com/D_NQ_NP_784600-CBT76428803622_052024-F.webp</t>
        </is>
      </c>
      <c r="C621" t="inlineStr">
        <is>
          <t>N-dirigido</t>
        </is>
      </c>
      <c r="D621" t="b">
        <v>0</v>
      </c>
      <c r="E621" t="b">
        <v>0</v>
      </c>
      <c r="F621" t="inlineStr">
        <is>
          <t>none</t>
        </is>
      </c>
      <c r="G621" t="inlineStr"/>
      <c r="H621" t="inlineStr">
        <is>
          <t>low</t>
        </is>
      </c>
      <c r="I621" t="inlineStr"/>
      <c r="J621" t="b">
        <v>0</v>
      </c>
      <c r="K621" t="inlineStr"/>
      <c r="L621" t="inlineStr">
        <is>
          <t>Wi Fi Automatic reclosing protector
tuya
0.0
KW/h
228,
0.0 03
mA
1-63A adjustable
pulse Wi-Fi Voltage current leakage
Down
set up
NO
query
Distribution OFF
raise</t>
        </is>
      </c>
      <c r="M621" t="inlineStr"/>
    </row>
    <row r="622">
      <c r="A622">
        <f>IMAGE("https://http2.mlstatic.com/D_NQ_NP_875877-MLB96361627217_102025-F.webp")</f>
        <v/>
      </c>
      <c r="B622" t="inlineStr">
        <is>
          <t>https://http2.mlstatic.com/D_NQ_NP_875877-MLB96361627217_102025-F.webp</t>
        </is>
      </c>
      <c r="C622" t="inlineStr">
        <is>
          <t>N-dirigido</t>
        </is>
      </c>
      <c r="D622" t="b">
        <v>0</v>
      </c>
      <c r="E622" t="b">
        <v>0</v>
      </c>
      <c r="F622" t="inlineStr">
        <is>
          <t>none</t>
        </is>
      </c>
      <c r="G622" t="inlineStr"/>
      <c r="H622" t="inlineStr">
        <is>
          <t>low</t>
        </is>
      </c>
      <c r="I622" t="inlineStr"/>
      <c r="J622" t="b">
        <v>0</v>
      </c>
      <c r="K622" t="inlineStr"/>
      <c r="L622" t="inlineStr">
        <is>
          <t>LED
UP
LCD DISPLAY ENTER
88888
DOWN CERMENU
ON OFF DMX
AUTO speed speed.
voice mic+ mic-
1 2
(3)
4
5
6
(7)
8
9
*
0</t>
        </is>
      </c>
      <c r="M622" t="inlineStr"/>
    </row>
    <row r="623">
      <c r="A623">
        <f>IMAGE("https://http2.mlstatic.com/D_NQ_NP_604344-MLA103882306821_012026-F.webp")</f>
        <v/>
      </c>
      <c r="B623" t="inlineStr">
        <is>
          <t>https://http2.mlstatic.com/D_NQ_NP_604344-MLA103882306821_012026-F.webp</t>
        </is>
      </c>
      <c r="C623" t="inlineStr">
        <is>
          <t>N-dirigido</t>
        </is>
      </c>
      <c r="D623" t="b">
        <v>0</v>
      </c>
      <c r="E623" t="b">
        <v>0</v>
      </c>
      <c r="F623" t="inlineStr">
        <is>
          <t>none</t>
        </is>
      </c>
      <c r="G623" t="inlineStr"/>
      <c r="H623" t="inlineStr">
        <is>
          <t>low</t>
        </is>
      </c>
      <c r="I623" t="inlineStr"/>
      <c r="J623" t="b">
        <v>0</v>
      </c>
      <c r="K623" t="inlineStr"/>
      <c r="L623" t="inlineStr">
        <is>
          <t>ATTENTION
Insert the battery before opening the unit
Legen Sie die Batterie vor dem offnen des
Gerals ein
Inserez la batterie avant d'ouvrir runite
Plaats de batterij voordat u het apparaat
opent
Inserire la batteria prima di aprire l'unità
Inserte la bateria antes de abrir la unidad
Insira a bateri</t>
        </is>
      </c>
      <c r="M623" t="inlineStr"/>
    </row>
    <row r="624">
      <c r="A624">
        <f>IMAGE("https://http2.mlstatic.com/D_NQ_NP_682829-MCO113425522441_062026-F.webp")</f>
        <v/>
      </c>
      <c r="B624" t="inlineStr">
        <is>
          <t>https://http2.mlstatic.com/D_NQ_NP_682829-MCO113425522441_062026-F.webp</t>
        </is>
      </c>
      <c r="C624" t="inlineStr">
        <is>
          <t>N-dirigido</t>
        </is>
      </c>
      <c r="D624" t="b">
        <v>0</v>
      </c>
      <c r="E624" t="b">
        <v>0</v>
      </c>
      <c r="F624" t="inlineStr">
        <is>
          <t>none</t>
        </is>
      </c>
      <c r="G624" t="inlineStr"/>
      <c r="H624" t="inlineStr">
        <is>
          <t>low</t>
        </is>
      </c>
      <c r="I624" t="inlineStr"/>
      <c r="J624" t="b">
        <v>0</v>
      </c>
      <c r="K624" t="inlineStr"/>
      <c r="L624" t="inlineStr">
        <is>
          <t>GREAT
Lawns ONLY
Happen with
PROPER
Soil pH...
and
LOOSE,
Biologically
Active Soil!
PIORY
PORK
"FEED YOUR LEWN
SUGHTLY ACC
MEUTRALT
6.2 to 7
Jonathan Green
MAG-I-CAL PLUS
Soil Food
for Lawns in Acidic + Hard Soils
HELPS
RAISE
SOIL PH
HELPS
LOOSEN
HARD SOILS
CONTAINS
BIOCHAR
20% TO 70% OF YOUR
LAWN F</t>
        </is>
      </c>
      <c r="M624" t="inlineStr"/>
    </row>
    <row r="625">
      <c r="A625">
        <f>IMAGE("https://http2.mlstatic.com/D_NQ_NP_743051-CBT105095747580_012026-F.webp")</f>
        <v/>
      </c>
      <c r="B625" t="inlineStr">
        <is>
          <t>https://http2.mlstatic.com/D_NQ_NP_743051-CBT105095747580_012026-F.webp</t>
        </is>
      </c>
      <c r="C625" t="inlineStr">
        <is>
          <t>N-dirigido</t>
        </is>
      </c>
      <c r="D625" t="b">
        <v>0</v>
      </c>
      <c r="E625" t="b">
        <v>0</v>
      </c>
      <c r="F625" t="inlineStr">
        <is>
          <t>none</t>
        </is>
      </c>
      <c r="G625" t="inlineStr"/>
      <c r="H625" t="inlineStr">
        <is>
          <t>low</t>
        </is>
      </c>
      <c r="I625" t="inlineStr"/>
      <c r="J625" t="b">
        <v>0</v>
      </c>
      <c r="K625" t="inlineStr"/>
      <c r="L625" t="inlineStr">
        <is>
          <t>TH
ALL OFF
LIGHT
ONCOFF
2
3
FAN/OFF
6
5
R
2H
4H</t>
        </is>
      </c>
      <c r="M625" t="inlineStr"/>
    </row>
    <row r="626">
      <c r="A626">
        <f>IMAGE("https://http2.mlstatic.com/D_NQ_NP_715032-CBT109941501671_042026-F.webp")</f>
        <v/>
      </c>
      <c r="B626" t="inlineStr">
        <is>
          <t>https://http2.mlstatic.com/D_NQ_NP_715032-CBT109941501671_042026-F.webp</t>
        </is>
      </c>
      <c r="C626" t="inlineStr">
        <is>
          <t>N-dirigido</t>
        </is>
      </c>
      <c r="D626" t="b">
        <v>0</v>
      </c>
      <c r="E626" t="b">
        <v>0</v>
      </c>
      <c r="F626" t="inlineStr">
        <is>
          <t>none</t>
        </is>
      </c>
      <c r="G626" t="inlineStr">
        <is>
          <t>no text or overlays</t>
        </is>
      </c>
      <c r="H626" t="inlineStr">
        <is>
          <t>high</t>
        </is>
      </c>
      <c r="I626" t="inlineStr"/>
      <c r="J626" t="b">
        <v>0</v>
      </c>
      <c r="K626" t="inlineStr"/>
      <c r="L626" t="inlineStr">
        <is>
          <t>Test Monthly
TXDB1L-63
C10
IN1
230V-
41 ON
50/60Hz
VO OFF
IN12
An=30mA
t&lt;0.1s</t>
        </is>
      </c>
      <c r="M626" t="inlineStr"/>
    </row>
    <row r="627">
      <c r="A627">
        <f>IMAGE("https://http2.mlstatic.com/D_NQ_NP_693260-CBT113432958563_062026-F.webp")</f>
        <v/>
      </c>
      <c r="B627" t="inlineStr">
        <is>
          <t>https://http2.mlstatic.com/D_NQ_NP_693260-CBT113432958563_062026-F.webp</t>
        </is>
      </c>
      <c r="C627" t="inlineStr">
        <is>
          <t>N-dirigido</t>
        </is>
      </c>
      <c r="D627" t="b">
        <v>0</v>
      </c>
      <c r="E627" t="b">
        <v>0</v>
      </c>
      <c r="F627" t="inlineStr">
        <is>
          <t>none</t>
        </is>
      </c>
      <c r="G627" t="inlineStr"/>
      <c r="H627" t="inlineStr">
        <is>
          <t>low</t>
        </is>
      </c>
      <c r="I627" t="b">
        <v>0</v>
      </c>
      <c r="J627" t="b">
        <v>0</v>
      </c>
      <c r="K627" t="inlineStr"/>
      <c r="L627" t="inlineStr">
        <is>
          <t>epielle
SPA DAY
ATO
Head to Toe DIY Home Spa
COVER LATEST
SEAUTY TREND
-Beauty
opiello
Nourishing
Socks
Hemp
+Rosemary Extract
Soften dry and rough fo
Deeply moisturizing from heel to toe
One size fits most, up to 10.5 inches
opiolle
Secure
Tab
Intensive
Repairing
Gloves
Coconut Oil
Secure
Tab
epiel</t>
        </is>
      </c>
      <c r="M627" t="inlineStr"/>
    </row>
    <row r="628">
      <c r="A628">
        <f>IMAGE("https://http2.mlstatic.com/D_NQ_NP_927802-CBT113416467117_062026-F.webp")</f>
        <v/>
      </c>
      <c r="B628" t="inlineStr">
        <is>
          <t>https://http2.mlstatic.com/D_NQ_NP_927802-CBT113416467117_062026-F.webp</t>
        </is>
      </c>
      <c r="C628" t="inlineStr">
        <is>
          <t>N-dirigido</t>
        </is>
      </c>
      <c r="D628" t="b">
        <v>0</v>
      </c>
      <c r="E628" t="b">
        <v>0</v>
      </c>
      <c r="F628" t="inlineStr">
        <is>
          <t>none</t>
        </is>
      </c>
      <c r="G628" t="inlineStr"/>
      <c r="H628" t="inlineStr">
        <is>
          <t>high</t>
        </is>
      </c>
      <c r="I628" t="inlineStr"/>
      <c r="J628" t="b">
        <v>0</v>
      </c>
      <c r="K628" t="inlineStr"/>
      <c r="L628" t="inlineStr">
        <is>
          <t>Outdoor deck box cover
70X70X70
80X80X80
200x160x80
200x200x120
200x200x85
205x90x60
85X85X80
90X90X90
110X110X70
205x104x71
115X115X74
120X90X76
205x90x76
120X120X74
210x110x70
120X120X140
210x140x80
120X100X116
213x123x74
120X60X90
213x132x74
120X95X75
231x231x30
123X123X74
215x135x75
123X61X72
12</t>
        </is>
      </c>
      <c r="M628" t="inlineStr"/>
    </row>
    <row r="629">
      <c r="A629">
        <f>IMAGE("https://http2.mlstatic.com/D_NQ_NP_935362-CBT112186129176_062026-F.webp")</f>
        <v/>
      </c>
      <c r="B629" t="inlineStr">
        <is>
          <t>https://http2.mlstatic.com/D_NQ_NP_935362-CBT112186129176_062026-F.webp</t>
        </is>
      </c>
      <c r="C629" t="inlineStr">
        <is>
          <t>N-dirigido</t>
        </is>
      </c>
      <c r="D629" t="b">
        <v>0</v>
      </c>
      <c r="E629" t="b">
        <v>1</v>
      </c>
      <c r="F629" t="inlineStr">
        <is>
          <t>badge</t>
        </is>
      </c>
      <c r="G629" t="inlineStr">
        <is>
          <t>Mas vendido</t>
        </is>
      </c>
      <c r="H629" t="inlineStr">
        <is>
          <t>medium</t>
        </is>
      </c>
      <c r="I629" t="b">
        <v>0</v>
      </c>
      <c r="J629" t="b">
        <v>0</v>
      </c>
      <c r="K629" t="inlineStr"/>
      <c r="L629" t="inlineStr">
        <is>
          <t>*39Ry Fruit Y
A34cy
Frost➤
44cy Frosty
AVERY Foot➤
A539cy Fruit
A34cy Fruit➤
Joey Fruity
A34Rcy Fruit
A34&amp;y FruitY
AJCRcy Fruit Y
Joey Fruity
AICcy Fruit➤
WRIGLEY'S
SUGAR-FREE GUM/GOMME SANS SUCRE
WITH/AVEC SORBITOL MALTITOL
ASPARTAME, ACES
WRIGLEY'S
(Juicy Fruit
SUGAR-FREE GUMY GOMME SANS SUCRE
12x</t>
        </is>
      </c>
      <c r="M629" t="inlineStr"/>
    </row>
    <row r="630">
      <c r="A630">
        <f>IMAGE("https://http2.mlstatic.com/D_NQ_NP_686131-MLB98531917057_112025-F.webp")</f>
        <v/>
      </c>
      <c r="B630" t="inlineStr">
        <is>
          <t>https://http2.mlstatic.com/D_NQ_NP_686131-MLB98531917057_112025-F.webp</t>
        </is>
      </c>
      <c r="C630" t="inlineStr">
        <is>
          <t>N-dirigido</t>
        </is>
      </c>
      <c r="D630" t="b">
        <v>0</v>
      </c>
      <c r="E630" t="b">
        <v>0</v>
      </c>
      <c r="F630" t="inlineStr">
        <is>
          <t>none</t>
        </is>
      </c>
      <c r="G630" t="inlineStr"/>
      <c r="H630" t="inlineStr">
        <is>
          <t>low</t>
        </is>
      </c>
      <c r="I630" t="inlineStr"/>
      <c r="J630" t="b">
        <v>0</v>
      </c>
      <c r="K630" t="inlineStr"/>
      <c r="L630" t="inlineStr">
        <is>
          <t>AIR
ICONSIGN
LASH LIFT
EYELASH PERMING KIT
ICONSIGN
LIFT PADS
S/M/M1/M2/L Size
5 pairs
False Lashes Glue
tion S size
PERM
12 FIXATION
BI NUTRITION
O
ICONSIGN
CLEAN TOOL
CLEAN OFF THE RESIDUE
TAIR
konsign
Tintura
para cílios e sobrancelhas
Compo Aco Cee Celestari Laurie, O
DYE FOR EYELASHES AND BROWS</t>
        </is>
      </c>
      <c r="M630" t="inlineStr"/>
    </row>
    <row r="631">
      <c r="A631">
        <f>IMAGE("https://http2.mlstatic.com/D_NQ_NP_950022-MLB103721713837_012026-F.webp")</f>
        <v/>
      </c>
      <c r="B631" t="inlineStr">
        <is>
          <t>https://http2.mlstatic.com/D_NQ_NP_950022-MLB103721713837_012026-F.webp</t>
        </is>
      </c>
      <c r="C631" t="inlineStr">
        <is>
          <t>N-dirigido</t>
        </is>
      </c>
      <c r="D631" t="b">
        <v>0</v>
      </c>
      <c r="E631" t="b">
        <v>0</v>
      </c>
      <c r="F631" t="inlineStr">
        <is>
          <t>none</t>
        </is>
      </c>
      <c r="G631" t="inlineStr"/>
      <c r="H631" t="inlineStr">
        <is>
          <t>low</t>
        </is>
      </c>
      <c r="I631" t="inlineStr"/>
      <c r="J631" t="b">
        <v>0</v>
      </c>
      <c r="K631" t="inlineStr"/>
      <c r="L631" t="inlineStr">
        <is>
          <t>0.000
ON OFF
UNIT
TARE/CAL
Analytical Balance</t>
        </is>
      </c>
      <c r="M631" t="inlineStr"/>
    </row>
    <row r="632">
      <c r="A632">
        <f>IMAGE("https://http2.mlstatic.com/D_NQ_NP_982190-CBT112208012124_062026-F.webp")</f>
        <v/>
      </c>
      <c r="B632" t="inlineStr">
        <is>
          <t>https://http2.mlstatic.com/D_NQ_NP_982190-CBT112208012124_062026-F.webp</t>
        </is>
      </c>
      <c r="C632" t="inlineStr">
        <is>
          <t>N-dirigido</t>
        </is>
      </c>
      <c r="D632" t="b">
        <v>0</v>
      </c>
      <c r="E632" t="b">
        <v>0</v>
      </c>
      <c r="F632" t="inlineStr">
        <is>
          <t>none</t>
        </is>
      </c>
      <c r="G632" t="inlineStr"/>
      <c r="H632" t="inlineStr">
        <is>
          <t>low</t>
        </is>
      </c>
      <c r="I632" t="inlineStr"/>
      <c r="J632" t="b">
        <v>0</v>
      </c>
      <c r="K632" t="inlineStr"/>
      <c r="L632" t="inlineStr">
        <is>
          <t>playe
Nurser
with DROPINS" Liners
playtex
baby™
Nurser
with DROP-INS® Liners
Closer to
Natural Breast Feeding
Promotes:
More Natural
Breathing
Air-Free Feeding to
Help Reduce Colic
Easy
Easy Switching Between
Breast &amp; Bottle
3 Pack - 4 oz (118 mL) Bottles
with NATURALATCH Silicone Nipples
5- Pre-Ste</t>
        </is>
      </c>
      <c r="M632" t="inlineStr"/>
    </row>
    <row r="633">
      <c r="A633">
        <f>IMAGE("https://http2.mlstatic.com/D_NQ_NP_658846-CBT110453927837_042026-F.webp")</f>
        <v/>
      </c>
      <c r="B633" t="inlineStr">
        <is>
          <t>https://http2.mlstatic.com/D_NQ_NP_658846-CBT110453927837_042026-F.webp</t>
        </is>
      </c>
      <c r="C633" t="inlineStr">
        <is>
          <t>N-dirigido</t>
        </is>
      </c>
      <c r="D633" t="b">
        <v>0</v>
      </c>
      <c r="E633" t="b">
        <v>0</v>
      </c>
      <c r="F633" t="inlineStr">
        <is>
          <t>none</t>
        </is>
      </c>
      <c r="G633" t="inlineStr"/>
      <c r="H633" t="inlineStr">
        <is>
          <t>low</t>
        </is>
      </c>
      <c r="I633" t="inlineStr"/>
      <c r="J633" t="b">
        <v>0</v>
      </c>
      <c r="K633" t="inlineStr"/>
      <c r="L633" t="inlineStr">
        <is>
          <t>ARBUTIN 7.0+ TXA 4.0 CREAM
Advanced Solution with 7% Arbutin and 4% Tranexamic Acid is formulated to
help even out skin tone and promote radiant skin
POWERFUL ACTIVE INGREDIENTS- ARBUTIN 7%,
TRANEXAMIC ACID 4%
NET:50G/1.76OZ
알부틴 7%
UT IAA 4.0 CREAM
Advanced Solution with 7% Arbutin and 4% Tranexamic</t>
        </is>
      </c>
      <c r="M633" t="inlineStr"/>
    </row>
    <row r="634">
      <c r="A634">
        <f>IMAGE("https://http2.mlstatic.com/D_NQ_NP_956655-CBT107440071301_022026-F.webp")</f>
        <v/>
      </c>
      <c r="B634" t="inlineStr">
        <is>
          <t>https://http2.mlstatic.com/D_NQ_NP_956655-CBT107440071301_022026-F.webp</t>
        </is>
      </c>
      <c r="C634" t="inlineStr">
        <is>
          <t>N-dirigido</t>
        </is>
      </c>
      <c r="D634" t="b">
        <v>0</v>
      </c>
      <c r="E634" t="b">
        <v>0</v>
      </c>
      <c r="F634" t="inlineStr">
        <is>
          <t>none</t>
        </is>
      </c>
      <c r="G634" t="inlineStr"/>
      <c r="H634" t="inlineStr">
        <is>
          <t>low</t>
        </is>
      </c>
      <c r="I634" t="inlineStr"/>
      <c r="J634" t="b">
        <v>0</v>
      </c>
      <c r="K634" t="inlineStr"/>
      <c r="L634" t="inlineStr">
        <is>
          <t>ON OFF
MODE
+
MODE
STATIC
AUTO
W
DIY
DIY
DIY
1
2
3</t>
        </is>
      </c>
      <c r="M634" t="inlineStr"/>
    </row>
    <row r="635">
      <c r="A635">
        <f>IMAGE("https://http2.mlstatic.com/D_NQ_NP_819460-CBT104568374585_012026-F.webp")</f>
        <v/>
      </c>
      <c r="B635" t="inlineStr">
        <is>
          <t>https://http2.mlstatic.com/D_NQ_NP_819460-CBT104568374585_012026-F.webp</t>
        </is>
      </c>
      <c r="C635" t="inlineStr">
        <is>
          <t>N-dirigido</t>
        </is>
      </c>
      <c r="D635" t="b">
        <v>0</v>
      </c>
      <c r="E635" t="b">
        <v>0</v>
      </c>
      <c r="F635" t="inlineStr">
        <is>
          <t>none</t>
        </is>
      </c>
      <c r="G635" t="inlineStr"/>
      <c r="H635" t="inlineStr">
        <is>
          <t>low</t>
        </is>
      </c>
      <c r="I635" t="b">
        <v>0</v>
      </c>
      <c r="J635" t="b">
        <v>0</v>
      </c>
      <c r="K635" t="inlineStr"/>
      <c r="L635" t="inlineStr">
        <is>
          <t>Please peel off this mask
AFTER application completed</t>
        </is>
      </c>
      <c r="M635" t="inlineStr"/>
    </row>
    <row r="636">
      <c r="A636">
        <f>IMAGE("https://http2.mlstatic.com/D_NQ_NP_990931-CBT109765058837_032026-F.webp")</f>
        <v/>
      </c>
      <c r="B636" t="inlineStr">
        <is>
          <t>https://http2.mlstatic.com/D_NQ_NP_990931-CBT109765058837_032026-F.webp</t>
        </is>
      </c>
      <c r="C636" t="inlineStr">
        <is>
          <t>N-dirigido</t>
        </is>
      </c>
      <c r="D636" t="b">
        <v>0</v>
      </c>
      <c r="E636" t="b">
        <v>0</v>
      </c>
      <c r="F636" t="inlineStr">
        <is>
          <t>none</t>
        </is>
      </c>
      <c r="G636" t="inlineStr"/>
      <c r="H636" t="inlineStr">
        <is>
          <t>low</t>
        </is>
      </c>
      <c r="I636" t="inlineStr"/>
      <c r="J636" t="b">
        <v>0</v>
      </c>
      <c r="K636" t="inlineStr"/>
      <c r="L636" t="inlineStr">
        <is>
          <t>ARBUTIN 7.0+ TXA 4.0 CRE
Advanced Solefion with 7% Arbutin ond 4% Tranexamic Acid It formulated to
help even out skin tone and promote radiant skin
POWERFUL ACTIVE INGREDIENTS- ARBUTIN 7%,
TRANEXAMIC ACID 4%
NET BOQUE 7602
25575
ARBUTIN 7.0+ TXA 4.0 CREAM
Advanced Solution with 7% Arbutin and 4% Tra</t>
        </is>
      </c>
      <c r="M636" t="inlineStr"/>
    </row>
    <row r="637">
      <c r="A637">
        <f>IMAGE("https://http2.mlstatic.com/D_NQ_NP_619506-MCO113616742905_062026-F.webp")</f>
        <v/>
      </c>
      <c r="B637" t="inlineStr">
        <is>
          <t>https://http2.mlstatic.com/D_NQ_NP_619506-MCO113616742905_062026-F.webp</t>
        </is>
      </c>
      <c r="C637" t="inlineStr">
        <is>
          <t>N-dirigido</t>
        </is>
      </c>
      <c r="D637" t="b">
        <v>0</v>
      </c>
      <c r="E637" t="inlineStr"/>
      <c r="F637" t="inlineStr"/>
      <c r="G637" t="inlineStr">
        <is>
          <t>PARSE_ERROR: !!!!!!!!!!!!!!!!!!!!!!!!!!!!!!!!!!!!!!!!!!!!!!!!!!!!!!!!!!!!!!!!!!!!!!!!!!!!!!!!!!!!!!!!!!!!!!!!!!!!!!!!!!!!!!!!!!!!!!!!!!!!!!!!!!!!!!!!!!!!!!!!!!!!!!!!!!!!!!!!!!!!!!!!!!!!!!!!!!!!!!!!!!!!!!!!!!!!!!!!</t>
        </is>
      </c>
      <c r="H637" t="inlineStr"/>
      <c r="I637" t="b">
        <v>0</v>
      </c>
      <c r="J637" t="b">
        <v>0</v>
      </c>
      <c r="K637" t="inlineStr"/>
      <c r="L637" t="inlineStr">
        <is>
          <t xml:space="preserve">14:24 1
!!!! 63
Tyrone Police
Department
She Craft Co
Park
Sham
OUS Post Office
COMMERCE OR
Sharon Memorial
Garden Cemetery
Library
Town Hall
Compass Dance
Academy
Super K Express
8-6
Items
Complete
Hardware
Circa Coffee
House
Red Door
Consignment
Tyrone Depot
KRB Salon &amp;
Yangshan Road Now
KEY
Last </t>
        </is>
      </c>
      <c r="M637" t="inlineStr"/>
    </row>
    <row r="638">
      <c r="A638">
        <f>IMAGE("https://http2.mlstatic.com/D_NQ_NP_668457-CBT94125481702_102025-F.webp")</f>
        <v/>
      </c>
      <c r="B638" t="inlineStr">
        <is>
          <t>https://http2.mlstatic.com/D_NQ_NP_668457-CBT94125481702_102025-F.webp</t>
        </is>
      </c>
      <c r="C638" t="inlineStr">
        <is>
          <t>N-dirigido</t>
        </is>
      </c>
      <c r="D638" t="b">
        <v>0</v>
      </c>
      <c r="E638" t="b">
        <v>0</v>
      </c>
      <c r="F638" t="inlineStr">
        <is>
          <t>none</t>
        </is>
      </c>
      <c r="G638" t="inlineStr"/>
      <c r="H638" t="inlineStr">
        <is>
          <t>low</t>
        </is>
      </c>
      <c r="I638" t="inlineStr"/>
      <c r="J638" t="b">
        <v>0</v>
      </c>
      <c r="K638" t="inlineStr"/>
      <c r="L638" t="inlineStr">
        <is>
          <t>ANTI-HAIR FALL
Promote Hair Growth
PLAN
EXTRA
HAIR
AN
N
NOUR
THE
ANTI-HAIR FALL
Promote Hair Growth
ANTI-HAIR
LOSS
PLANT ESSENCE
EXTRACTION
NOURISHES
THE SCALP
OIL CONTROL
DANDRUFF
ANTI-HAIR LOSS
HAIR TREATMENT SHAMPOO
NET:300ml</t>
        </is>
      </c>
      <c r="M638" t="inlineStr"/>
    </row>
    <row r="639">
      <c r="A639">
        <f>IMAGE("https://http2.mlstatic.com/D_NQ_NP_669353-MLM106249727703_012026-F.webp")</f>
        <v/>
      </c>
      <c r="B639" t="inlineStr">
        <is>
          <t>https://http2.mlstatic.com/D_NQ_NP_669353-MLM106249727703_012026-F.webp</t>
        </is>
      </c>
      <c r="C639" t="inlineStr">
        <is>
          <t>N-dirigido</t>
        </is>
      </c>
      <c r="D639" t="b">
        <v>0</v>
      </c>
      <c r="E639" t="b">
        <v>0</v>
      </c>
      <c r="F639" t="inlineStr">
        <is>
          <t>none</t>
        </is>
      </c>
      <c r="G639" t="inlineStr"/>
      <c r="H639" t="inlineStr">
        <is>
          <t>low</t>
        </is>
      </c>
      <c r="I639" t="inlineStr"/>
      <c r="J639" t="b">
        <v>0</v>
      </c>
      <c r="K639" t="inlineStr"/>
      <c r="L639" t="inlineStr">
        <is>
          <t>EXCALVO
SHAMPOO
EXCALVO
SHAMPOO
Rosemary oil &amp;
Red onion &amp; Cinnamon
✓ Estimula los foliculos pliccss
Promover el crecimiento
del cabello
Reduce lo caida del cabello
7oz / 200ml
Rosemary oil &amp;
Red onion &amp; Cinnamon
Estimula los foliculos plooss
Promover el crecimiento
del cabello
Reduce la caida del c</t>
        </is>
      </c>
      <c r="M639" t="inlineStr"/>
    </row>
    <row r="640">
      <c r="A640">
        <f>IMAGE("https://http2.mlstatic.com/D_NQ_NP_867898-MLA113384676517_062026-F.webp")</f>
        <v/>
      </c>
      <c r="B640" t="inlineStr">
        <is>
          <t>https://http2.mlstatic.com/D_NQ_NP_867898-MLA113384676517_062026-F.webp</t>
        </is>
      </c>
      <c r="C640" t="inlineStr">
        <is>
          <t>N-dirigido</t>
        </is>
      </c>
      <c r="D640" t="b">
        <v>0</v>
      </c>
      <c r="E640" t="b">
        <v>1</v>
      </c>
      <c r="F640" t="inlineStr">
        <is>
          <t>badge</t>
        </is>
      </c>
      <c r="G640" t="inlineStr">
        <is>
          <t>logos de marca o del fabricante</t>
        </is>
      </c>
      <c r="H640" t="inlineStr">
        <is>
          <t>medium</t>
        </is>
      </c>
      <c r="I640" t="b">
        <v>0</v>
      </c>
      <c r="J640" t="b">
        <v>0</v>
      </c>
      <c r="K640" t="inlineStr"/>
      <c r="L640" t="inlineStr">
        <is>
          <t>BPS4
TM
2019
THE OFFICIAL VIDEOGAME
3
Formula 1
LICENSED
PRODUCT
F2
FA FORMULAZ
LICENSED
PRODUCT
CODEMASTERS®</t>
        </is>
      </c>
      <c r="M640" t="inlineStr"/>
    </row>
    <row r="641">
      <c r="A641">
        <f>IMAGE("https://http2.mlstatic.com/D_NQ_NP_972188-MLA112203876270_062026-F.webp")</f>
        <v/>
      </c>
      <c r="B641" t="inlineStr">
        <is>
          <t>https://http2.mlstatic.com/D_NQ_NP_972188-MLA112203876270_062026-F.webp</t>
        </is>
      </c>
      <c r="C641" t="inlineStr">
        <is>
          <t>N-dirigido</t>
        </is>
      </c>
      <c r="D641" t="b">
        <v>0</v>
      </c>
      <c r="E641" t="b">
        <v>0</v>
      </c>
      <c r="F641" t="inlineStr">
        <is>
          <t>none</t>
        </is>
      </c>
      <c r="G641" t="inlineStr"/>
      <c r="H641" t="inlineStr">
        <is>
          <t>low</t>
        </is>
      </c>
      <c r="I641" t="inlineStr"/>
      <c r="J641" t="b">
        <v>0</v>
      </c>
      <c r="K641" t="inlineStr"/>
      <c r="L641" t="inlineStr">
        <is>
          <t>ww
198500
NOT
DO
TURN OFF MOTOR
UNTIL VACUUM
IS RELEASED
ON
D
OFF
200000
INVESTMENT
TABLE
VACUUM
RELEASE
CASTING
AMBER
CE
110V</t>
        </is>
      </c>
      <c r="M641" t="inlineStr"/>
    </row>
    <row r="642">
      <c r="A642">
        <f>IMAGE("https://http2.mlstatic.com/D_NQ_NP_895970-CBT112998074269_062026-F.webp")</f>
        <v/>
      </c>
      <c r="B642" t="inlineStr">
        <is>
          <t>https://http2.mlstatic.com/D_NQ_NP_895970-CBT112998074269_062026-F.webp</t>
        </is>
      </c>
      <c r="C642" t="inlineStr">
        <is>
          <t>N-dirigido</t>
        </is>
      </c>
      <c r="D642" t="b">
        <v>0</v>
      </c>
      <c r="E642" t="b">
        <v>0</v>
      </c>
      <c r="F642" t="inlineStr">
        <is>
          <t>none</t>
        </is>
      </c>
      <c r="G642" t="inlineStr"/>
      <c r="H642" t="inlineStr">
        <is>
          <t>low</t>
        </is>
      </c>
      <c r="I642" t="inlineStr"/>
      <c r="J642" t="b">
        <v>0</v>
      </c>
      <c r="K642" t="inlineStr"/>
      <c r="L642" t="inlineStr">
        <is>
          <t>RECS-205P
Imax:30A/3S 230VAC 50/60Hz
Switch Froq.:2S ON/2S OFF MAX
TEMP:0-70 °C
201800014751
F
CE</t>
        </is>
      </c>
      <c r="M642" t="inlineStr"/>
    </row>
    <row r="643">
      <c r="A643">
        <f>IMAGE("https://http2.mlstatic.com/D_NQ_NP_772538-CBT113416004599_062026-F.webp")</f>
        <v/>
      </c>
      <c r="B643" t="inlineStr">
        <is>
          <t>https://http2.mlstatic.com/D_NQ_NP_772538-CBT113416004599_062026-F.webp</t>
        </is>
      </c>
      <c r="C643" t="inlineStr">
        <is>
          <t>N-dirigido</t>
        </is>
      </c>
      <c r="D643" t="b">
        <v>0</v>
      </c>
      <c r="E643" t="b">
        <v>0</v>
      </c>
      <c r="F643" t="inlineStr">
        <is>
          <t>none</t>
        </is>
      </c>
      <c r="G643" t="inlineStr"/>
      <c r="H643" t="inlineStr">
        <is>
          <t>low</t>
        </is>
      </c>
      <c r="I643" t="inlineStr"/>
      <c r="J643" t="b">
        <v>0</v>
      </c>
      <c r="K643" t="inlineStr"/>
      <c r="L643" t="inlineStr">
        <is>
          <t>ERBAGUNA YG UNIK JUGA
NTANGAN KITA
-dacient, excessed at volalem cla
cast ma id ut sea et faces endi odiput
lorem jum fags Office Bagia
O
to a
R
sere et duuptat quas prehen toine
prehend ipiendi istasadi cessesi corota volg
quis redam hillatur andaccab
esignata lorem excribs sarzowi tag
vunia inicia</t>
        </is>
      </c>
      <c r="M643" t="inlineStr"/>
    </row>
    <row r="644">
      <c r="A644">
        <f>IMAGE("https://http2.mlstatic.com/D_NQ_NP_617499-MLA99451829766_112025-F.webp")</f>
        <v/>
      </c>
      <c r="B644" t="inlineStr">
        <is>
          <t>https://http2.mlstatic.com/D_NQ_NP_617499-MLA99451829766_112025-F.webp</t>
        </is>
      </c>
      <c r="C644" t="inlineStr">
        <is>
          <t>N-dirigido</t>
        </is>
      </c>
      <c r="D644" t="b">
        <v>0</v>
      </c>
      <c r="E644" t="b">
        <v>0</v>
      </c>
      <c r="F644" t="inlineStr">
        <is>
          <t>none</t>
        </is>
      </c>
      <c r="G644" t="inlineStr"/>
      <c r="H644" t="inlineStr">
        <is>
          <t>low</t>
        </is>
      </c>
      <c r="I644" t="inlineStr"/>
      <c r="J644" t="b">
        <v>0</v>
      </c>
      <c r="K644" t="inlineStr"/>
      <c r="L644" t="inlineStr">
        <is>
          <t>cosmobeauty
vulcanice®
Clarydefense
FPS 50 18h
UVA 20
de Proteção
cosmobeauty
Ação
•
•
Dermoprotetora
Clareadora
vulcan ice
Clarydefense
•
Antipoluição
Toque seco Rápida absorção | Proteção Térmica
UVA UVB Luz Visível IV
Promove a uniformização do tom da pele
Hipercromias: Melasmas Pós Inflamatórias</t>
        </is>
      </c>
      <c r="M644" t="inlineStr"/>
    </row>
    <row r="645">
      <c r="A645">
        <f>IMAGE("https://http2.mlstatic.com/D_NQ_NP_934943-CBT112415931344_062026-F.webp")</f>
        <v/>
      </c>
      <c r="B645" t="inlineStr">
        <is>
          <t>https://http2.mlstatic.com/D_NQ_NP_934943-CBT112415931344_062026-F.webp</t>
        </is>
      </c>
      <c r="C645" t="inlineStr">
        <is>
          <t>N-dirigido</t>
        </is>
      </c>
      <c r="D645" t="b">
        <v>0</v>
      </c>
      <c r="E645" t="b">
        <v>0</v>
      </c>
      <c r="F645" t="inlineStr">
        <is>
          <t>none</t>
        </is>
      </c>
      <c r="G645" t="inlineStr"/>
      <c r="H645" t="inlineStr">
        <is>
          <t>low</t>
        </is>
      </c>
      <c r="I645" t="inlineStr"/>
      <c r="J645" t="b">
        <v>0</v>
      </c>
      <c r="K645" t="inlineStr"/>
      <c r="L645" t="inlineStr">
        <is>
          <t>DZ4/-63
C63A
1*3*
400V-
I ON
50/60Hz
O OFF
Icu 6kA IEC60898-1
2</t>
        </is>
      </c>
      <c r="M645" t="inlineStr"/>
    </row>
    <row r="646">
      <c r="A646">
        <f>IMAGE("https://http2.mlstatic.com/D_NQ_NP_859913-CBT113510376721_062026-F.webp")</f>
        <v/>
      </c>
      <c r="B646" t="inlineStr">
        <is>
          <t>https://http2.mlstatic.com/D_NQ_NP_859913-CBT113510376721_062026-F.webp</t>
        </is>
      </c>
      <c r="C646" t="inlineStr">
        <is>
          <t>N-dirigido</t>
        </is>
      </c>
      <c r="D646" t="b">
        <v>0</v>
      </c>
      <c r="E646" t="b">
        <v>0</v>
      </c>
      <c r="F646" t="inlineStr">
        <is>
          <t>none</t>
        </is>
      </c>
      <c r="G646" t="inlineStr"/>
      <c r="H646" t="inlineStr">
        <is>
          <t>low</t>
        </is>
      </c>
      <c r="I646" t="inlineStr"/>
      <c r="J646" t="b">
        <v>0</v>
      </c>
      <c r="K646" t="inlineStr"/>
      <c r="L646" t="inlineStr">
        <is>
          <t>hina Mobile 5318/s
Smart Power Strip
Switch 1
switch 2
Switch 32
ම ම
Switch 42
USB 1
All On
All Off
10
&lt;
0
·
ΠΠΠΠ Ο</t>
        </is>
      </c>
      <c r="M646" t="inlineStr"/>
    </row>
    <row r="647">
      <c r="A647">
        <f>IMAGE("https://http2.mlstatic.com/D_NQ_NP_908284-MLB113571190485_062026-F.webp")</f>
        <v/>
      </c>
      <c r="B647" t="inlineStr">
        <is>
          <t>https://http2.mlstatic.com/D_NQ_NP_908284-MLB113571190485_062026-F.webp</t>
        </is>
      </c>
      <c r="C647" t="inlineStr">
        <is>
          <t>N-dirigido</t>
        </is>
      </c>
      <c r="D647" t="b">
        <v>0</v>
      </c>
      <c r="E647" t="b">
        <v>0</v>
      </c>
      <c r="F647" t="inlineStr">
        <is>
          <t>none</t>
        </is>
      </c>
      <c r="G647" t="inlineStr"/>
      <c r="H647" t="inlineStr">
        <is>
          <t>low</t>
        </is>
      </c>
      <c r="I647" t="inlineStr"/>
      <c r="J647" t="b">
        <v>0</v>
      </c>
      <c r="K647" t="inlineStr"/>
      <c r="L647" t="inlineStr">
        <is>
          <t>A
TREY
STRA
A
GAT M
PN107
CE
°C/°F
Hz
NENG
DA
600A OFF
33333
!!!!
H&amp;W
FUN
AUTO POWER OFF
4MkQHz ng FVA "C'F
4000
AUTO MAX MIN
A
AC CLAMP METER
COM
600V
CAT II
QHz&amp;
V NCV)))
ANENG High Precision
CLAMP METER
V₁
AC V
DC Voltage
Capacitance
Hz
Mere Herz
ANENG
AJ
USER MANUAL
CLAMP METER
4000
DIGITAL CLAM</t>
        </is>
      </c>
      <c r="M647" t="inlineStr"/>
    </row>
    <row r="648">
      <c r="A648">
        <f>IMAGE("https://http2.mlstatic.com/D_NQ_NP_732241-CBT109572686396_042026-F.webp")</f>
        <v/>
      </c>
      <c r="B648" t="inlineStr">
        <is>
          <t>https://http2.mlstatic.com/D_NQ_NP_732241-CBT109572686396_042026-F.webp</t>
        </is>
      </c>
      <c r="C648" t="inlineStr">
        <is>
          <t>N-dirigido</t>
        </is>
      </c>
      <c r="D648" t="b">
        <v>0</v>
      </c>
      <c r="E648" t="b">
        <v>0</v>
      </c>
      <c r="F648" t="inlineStr">
        <is>
          <t>none</t>
        </is>
      </c>
      <c r="G648" t="inlineStr"/>
      <c r="H648" t="inlineStr">
        <is>
          <t>low</t>
        </is>
      </c>
      <c r="I648" t="inlineStr"/>
      <c r="J648" t="b">
        <v>0</v>
      </c>
      <c r="K648" t="inlineStr"/>
      <c r="L648" t="inlineStr">
        <is>
          <t>Full HD
1080
Wi Fi
360°
ON OFF
MODE
120°
Smart Device
10</t>
        </is>
      </c>
      <c r="M648" t="inlineStr"/>
    </row>
    <row r="649">
      <c r="A649">
        <f>IMAGE("https://http2.mlstatic.com/D_NQ_NP_873245-CBT107830005618_032026-F.webp")</f>
        <v/>
      </c>
      <c r="B649" t="inlineStr">
        <is>
          <t>https://http2.mlstatic.com/D_NQ_NP_873245-CBT107830005618_032026-F.webp</t>
        </is>
      </c>
      <c r="C649" t="inlineStr">
        <is>
          <t>N-dirigido</t>
        </is>
      </c>
      <c r="D649" t="b">
        <v>0</v>
      </c>
      <c r="E649" t="b">
        <v>1</v>
      </c>
      <c r="F649" t="inlineStr">
        <is>
          <t>badge</t>
        </is>
      </c>
      <c r="G649" t="inlineStr">
        <is>
          <t>Mas vendido</t>
        </is>
      </c>
      <c r="H649" t="inlineStr">
        <is>
          <t>medium</t>
        </is>
      </c>
      <c r="I649" t="b">
        <v>0</v>
      </c>
      <c r="J649" t="b">
        <v>0</v>
      </c>
      <c r="K649" t="inlineStr"/>
      <c r="L649" t="inlineStr">
        <is>
          <t xml:space="preserve">ARBUTIN 7.0+ TXA 4.0 CREAM
Advanced Solution with 7% Arbutin and 4% Tranexamic Acid is formulated to
help even out skin tone and promote radiant skin
POWERFUL ACTIVE INGREDIENTS- ARBUTIN 7%,
TRANEXAMIC ACID 4%
NET:50G/1.76OZ
알부틴 7%
ARBUTIN 7.0+ TXA 4.0 CREAM
Advanced Solution with 7% Arbutin and 4% </t>
        </is>
      </c>
      <c r="M649" t="inlineStr"/>
    </row>
    <row r="650">
      <c r="A650">
        <f>IMAGE("https://http2.mlstatic.com/D_NQ_NP_611712-CBT112484507732_062026-F.webp")</f>
        <v/>
      </c>
      <c r="B650" t="inlineStr">
        <is>
          <t>https://http2.mlstatic.com/D_NQ_NP_611712-CBT112484507732_062026-F.webp</t>
        </is>
      </c>
      <c r="C650" t="inlineStr">
        <is>
          <t>N-dirigido</t>
        </is>
      </c>
      <c r="D650" t="b">
        <v>0</v>
      </c>
      <c r="E650" t="b">
        <v>1</v>
      </c>
      <c r="F650" t="inlineStr">
        <is>
          <t>badge</t>
        </is>
      </c>
      <c r="G650" t="inlineStr">
        <is>
          <t>FULTON COUNTY SHERIFF'S OFFICE</t>
        </is>
      </c>
      <c r="H650" t="inlineStr">
        <is>
          <t>medium</t>
        </is>
      </c>
      <c r="I650" t="b">
        <v>0</v>
      </c>
      <c r="J650" t="b">
        <v>0</v>
      </c>
      <c r="K650" t="inlineStr"/>
      <c r="L650" t="inlineStr">
        <is>
          <t>FULTON COUNTY
SHERIFF'S OFFICE
8 24 23
TRUMP</t>
        </is>
      </c>
      <c r="M650" t="inlineStr"/>
    </row>
    <row r="651">
      <c r="A651">
        <f>IMAGE("https://http2.mlstatic.com/D_NQ_NP_684618-MLM106164347233_012026-F.webp")</f>
        <v/>
      </c>
      <c r="B651" t="inlineStr">
        <is>
          <t>https://http2.mlstatic.com/D_NQ_NP_684618-MLM106164347233_012026-F.webp</t>
        </is>
      </c>
      <c r="C651" t="inlineStr">
        <is>
          <t>N-dirigido</t>
        </is>
      </c>
      <c r="D651" t="b">
        <v>0</v>
      </c>
      <c r="E651" t="b">
        <v>0</v>
      </c>
      <c r="F651" t="inlineStr">
        <is>
          <t>none</t>
        </is>
      </c>
      <c r="G651" t="inlineStr"/>
      <c r="H651" t="inlineStr">
        <is>
          <t>low</t>
        </is>
      </c>
      <c r="I651" t="inlineStr"/>
      <c r="J651" t="b">
        <v>0</v>
      </c>
      <c r="K651" t="inlineStr"/>
      <c r="L651" t="inlineStr">
        <is>
          <t>345
RELIEF CREAM
Natural ingredients, suitable
for all skin types
It has 3 kinds of blemish care ingredients,
4 kinds of skin nourishing ingredients, and
5 kinds of skin soothing ingredients,
which can provide continous moisturizing
and nourishing to the skin, promote even
Join tone, soothe red skin</t>
        </is>
      </c>
      <c r="M651" t="inlineStr"/>
    </row>
    <row r="652">
      <c r="A652">
        <f>IMAGE("https://http2.mlstatic.com/D_NQ_NP_916773-MLA112453475768_062026-F.webp")</f>
        <v/>
      </c>
      <c r="B652" t="inlineStr">
        <is>
          <t>https://http2.mlstatic.com/D_NQ_NP_916773-MLA112453475768_062026-F.webp</t>
        </is>
      </c>
      <c r="C652" t="inlineStr">
        <is>
          <t>N-dirigido</t>
        </is>
      </c>
      <c r="D652" t="b">
        <v>0</v>
      </c>
      <c r="E652" t="b">
        <v>0</v>
      </c>
      <c r="F652" t="inlineStr">
        <is>
          <t>none</t>
        </is>
      </c>
      <c r="G652" t="inlineStr"/>
      <c r="H652" t="inlineStr">
        <is>
          <t>low</t>
        </is>
      </c>
      <c r="I652" t="inlineStr"/>
      <c r="J652" t="b">
        <v>0</v>
      </c>
      <c r="K652" t="inlineStr"/>
      <c r="L652" t="inlineStr">
        <is>
          <t>GASTROPROP
CSI 6250-
almundo
LAHORETA
TODO AL 50% OFF
นา
DER ASTILLOPROP
Mariel estillo | CSI 6250</t>
        </is>
      </c>
      <c r="M652" t="inlineStr"/>
    </row>
    <row r="653">
      <c r="A653">
        <f>IMAGE("https://http2.mlstatic.com/D_NQ_NP_778782-CBT113438971581_062026-F.webp")</f>
        <v/>
      </c>
      <c r="B653" t="inlineStr">
        <is>
          <t>https://http2.mlstatic.com/D_NQ_NP_778782-CBT113438971581_062026-F.webp</t>
        </is>
      </c>
      <c r="C653" t="inlineStr">
        <is>
          <t>N-dirigido</t>
        </is>
      </c>
      <c r="D653" t="b">
        <v>0</v>
      </c>
      <c r="E653" t="b">
        <v>0</v>
      </c>
      <c r="F653" t="inlineStr">
        <is>
          <t>none</t>
        </is>
      </c>
      <c r="G653" t="inlineStr"/>
      <c r="H653" t="inlineStr">
        <is>
          <t>low</t>
        </is>
      </c>
      <c r="I653" t="inlineStr"/>
      <c r="J653" t="b">
        <v>0</v>
      </c>
      <c r="K653" t="inlineStr"/>
      <c r="L653" t="inlineStr">
        <is>
          <t>HORSE RACING KNOWLEDGE
HORSE RACING PATENT PRINT
No. 621,314
W. E. BARBER
Patented Mar. 21, 1893.
APPARATUS FOR MAKING RACING RECORDS
AMERICA TRIPLE CROWN WINNERS
Lowell
Highers Ling an Higdons
HORSE VISION
AR
-Corre
PACK PECE-
MONTLAND
-BEARNAREN
AUTORIT
BORN TO RUN
TIPS TO WIN HORSE RACING BETS
Le</t>
        </is>
      </c>
      <c r="M653" t="inlineStr"/>
    </row>
    <row r="654">
      <c r="A654">
        <f>IMAGE("https://http2.mlstatic.com/D_NQ_NP_890099-CBT113658003027_062026-F.webp")</f>
        <v/>
      </c>
      <c r="B654" t="inlineStr">
        <is>
          <t>https://http2.mlstatic.com/D_NQ_NP_890099-CBT113658003027_062026-F.webp</t>
        </is>
      </c>
      <c r="C654" t="inlineStr">
        <is>
          <t>N-dirigido</t>
        </is>
      </c>
      <c r="D654" t="b">
        <v>0</v>
      </c>
      <c r="E654" t="b">
        <v>0</v>
      </c>
      <c r="F654" t="inlineStr">
        <is>
          <t>none</t>
        </is>
      </c>
      <c r="G654" t="inlineStr"/>
      <c r="H654" t="inlineStr">
        <is>
          <t>low</t>
        </is>
      </c>
      <c r="I654" t="inlineStr"/>
      <c r="J654" t="b">
        <v>0</v>
      </c>
      <c r="K654" t="inlineStr"/>
      <c r="L654" t="inlineStr">
        <is>
          <t>مجد
ON OFF
155 305 805 1205
Model
Delay
Dimming</t>
        </is>
      </c>
      <c r="M654" t="inlineStr"/>
    </row>
    <row r="655">
      <c r="A655">
        <f>IMAGE("https://http2.mlstatic.com/D_NQ_NP_789028-CBT95524437907_102025-F.webp")</f>
        <v/>
      </c>
      <c r="B655" t="inlineStr">
        <is>
          <t>https://http2.mlstatic.com/D_NQ_NP_789028-CBT95524437907_102025-F.webp</t>
        </is>
      </c>
      <c r="C655" t="inlineStr">
        <is>
          <t>N-dirigido</t>
        </is>
      </c>
      <c r="D655" t="b">
        <v>0</v>
      </c>
      <c r="E655" t="b">
        <v>0</v>
      </c>
      <c r="F655" t="inlineStr">
        <is>
          <t>none</t>
        </is>
      </c>
      <c r="G655" t="inlineStr"/>
      <c r="H655" t="inlineStr">
        <is>
          <t>low</t>
        </is>
      </c>
      <c r="I655" t="inlineStr"/>
      <c r="J655" t="b">
        <v>0</v>
      </c>
      <c r="K655" t="inlineStr"/>
      <c r="L655" t="inlineStr">
        <is>
          <t>595 PCS
36 Size Air Conditioning O Rings Kit
SIZE:ID X CS
SIZE:
ID X CS
(mm)
3x1
4x1 4.5x2 5x2 6x2 6x2.5 6x3
20pcs 20pcs 30pcs 30pcs 30pcs 20pcs 20pcs
8x2
7x2
9x2 10x2
20pcs 20pcs 15pcs 15pcs
12x3
10pcs
13x3
5pcs
7/32x1/16
or
5.29x1.78
20x2 22x2
5pcs 30-pcs
14x2.5 17x2.5
18x4
5pcs 5pcs
6pcs
5pcs
1/4</t>
        </is>
      </c>
      <c r="M655" t="inlineStr"/>
    </row>
    <row r="656">
      <c r="A656">
        <f>IMAGE("https://http2.mlstatic.com/D_NQ_NP_944819-MLA108576922167_032026-F.webp")</f>
        <v/>
      </c>
      <c r="B656" t="inlineStr">
        <is>
          <t>https://http2.mlstatic.com/D_NQ_NP_944819-MLA108576922167_032026-F.webp</t>
        </is>
      </c>
      <c r="C656" t="inlineStr">
        <is>
          <t>N-dirigido</t>
        </is>
      </c>
      <c r="D656" t="b">
        <v>0</v>
      </c>
      <c r="E656" t="b">
        <v>0</v>
      </c>
      <c r="F656" t="inlineStr">
        <is>
          <t>none</t>
        </is>
      </c>
      <c r="G656" t="inlineStr"/>
      <c r="H656" t="inlineStr">
        <is>
          <t>low</t>
        </is>
      </c>
      <c r="I656" t="b">
        <v>0</v>
      </c>
      <c r="J656" t="b">
        <v>0</v>
      </c>
      <c r="K656" t="inlineStr"/>
      <c r="L656" t="inlineStr">
        <is>
          <t>20130(R)
7100
SPORT &amp; ADVENTURE
ROAD &amp; OFF-ROAD
10W-40
ESTER
4T
100% SYNTHETIC MOTOR OIL
ENGINE
RESPONSE
IMPROVED
SHIFTING
HIGH
PROTECTION
MOTUL
1L
(1.05 U.S. qt)</t>
        </is>
      </c>
      <c r="M656" t="inlineStr"/>
    </row>
    <row r="657">
      <c r="A657">
        <f>IMAGE("https://http2.mlstatic.com/D_NQ_NP_887799-MLM105178946130_012026-F.webp")</f>
        <v/>
      </c>
      <c r="B657" t="inlineStr">
        <is>
          <t>https://http2.mlstatic.com/D_NQ_NP_887799-MLM105178946130_012026-F.webp</t>
        </is>
      </c>
      <c r="C657" t="inlineStr">
        <is>
          <t>N-dirigido</t>
        </is>
      </c>
      <c r="D657" t="b">
        <v>0</v>
      </c>
      <c r="E657" t="b">
        <v>0</v>
      </c>
      <c r="F657" t="inlineStr">
        <is>
          <t>none</t>
        </is>
      </c>
      <c r="G657" t="inlineStr"/>
      <c r="H657" t="inlineStr">
        <is>
          <t>low</t>
        </is>
      </c>
      <c r="I657" t="inlineStr"/>
      <c r="J657" t="b">
        <v>0</v>
      </c>
      <c r="K657" t="inlineStr"/>
      <c r="L657" t="inlineStr">
        <is>
          <t>FOR ALL SKIN TYPES &amp; FREE
FROM ARTIFICIAL FRAGRANCE
345
RELIEF CREAM
Optia Fc Indica
Extract
Pastend/ Narinade Cent
Asiatica Leal Estat
[345 RELIEF CREAM] 3 lagredients for Blemish care
Narinade, His Sebaris Power Extract &amp; Bes
ventil/4 Ingredients for Nourishing care Beta-Cu
Hydolysed Hyaluronic Ac</t>
        </is>
      </c>
      <c r="M657" t="inlineStr"/>
    </row>
    <row r="658">
      <c r="A658">
        <f>IMAGE("https://http2.mlstatic.com/D_NQ_NP_681090-CBT113637263907_062026-F.webp")</f>
        <v/>
      </c>
      <c r="B658" t="inlineStr">
        <is>
          <t>https://http2.mlstatic.com/D_NQ_NP_681090-CBT113637263907_062026-F.webp</t>
        </is>
      </c>
      <c r="C658" t="inlineStr">
        <is>
          <t>N-dirigido</t>
        </is>
      </c>
      <c r="D658" t="b">
        <v>0</v>
      </c>
      <c r="E658" t="b">
        <v>0</v>
      </c>
      <c r="F658" t="inlineStr">
        <is>
          <t>none</t>
        </is>
      </c>
      <c r="G658" t="inlineStr"/>
      <c r="H658" t="inlineStr">
        <is>
          <t>low</t>
        </is>
      </c>
      <c r="I658" t="inlineStr"/>
      <c r="J658" t="b">
        <v>0</v>
      </c>
      <c r="K658" t="inlineStr"/>
      <c r="L658" t="inlineStr">
        <is>
          <t>SAWG
+
600V
MAX
FUSED 400mA
MAX
allesunⓇ
AUTO RANGE DIGITAL MULTIMETER
0101
NCV
AACATI
2
mA
HOLD
Hz
mVA
Ε Ω
Hz
ΚΜΩ
+111.
FUNC
AUTO 1) H
DC
NCV
8.8.8.8
AUTO POWER OFF
EM3085A
OFF</t>
        </is>
      </c>
      <c r="M658" t="inlineStr"/>
    </row>
    <row r="659">
      <c r="A659">
        <f>IMAGE("https://http2.mlstatic.com/D_NQ_NP_627629-MLM111084987062_052026-F.webp")</f>
        <v/>
      </c>
      <c r="B659" t="inlineStr">
        <is>
          <t>https://http2.mlstatic.com/D_NQ_NP_627629-MLM111084987062_052026-F.webp</t>
        </is>
      </c>
      <c r="C659" t="inlineStr">
        <is>
          <t>N-dirigido</t>
        </is>
      </c>
      <c r="D659" t="b">
        <v>0</v>
      </c>
      <c r="E659" t="b">
        <v>0</v>
      </c>
      <c r="F659" t="inlineStr">
        <is>
          <t>none</t>
        </is>
      </c>
      <c r="G659" t="inlineStr"/>
      <c r="H659" t="inlineStr">
        <is>
          <t>low</t>
        </is>
      </c>
      <c r="I659" t="inlineStr"/>
      <c r="J659" t="b">
        <v>0</v>
      </c>
      <c r="K659" t="inlineStr"/>
      <c r="L659" t="inlineStr">
        <is>
          <t>64560202
1. Do not
2. Set front
before inst
3. Turn clockw
beck off 2.7
align (D) ma
4. Refer to ervice
for detail,
HOZL</t>
        </is>
      </c>
      <c r="M659" t="inlineStr"/>
    </row>
    <row r="660">
      <c r="A660">
        <f>IMAGE("https://http2.mlstatic.com/D_NQ_NP_779061-CBT112490602770_062026-F.webp")</f>
        <v/>
      </c>
      <c r="B660" t="inlineStr">
        <is>
          <t>https://http2.mlstatic.com/D_NQ_NP_779061-CBT112490602770_062026-F.webp</t>
        </is>
      </c>
      <c r="C660" t="inlineStr">
        <is>
          <t>N-dirigido</t>
        </is>
      </c>
      <c r="D660" t="b">
        <v>0</v>
      </c>
      <c r="E660" t="b">
        <v>0</v>
      </c>
      <c r="F660" t="inlineStr">
        <is>
          <t>none</t>
        </is>
      </c>
      <c r="G660" t="inlineStr"/>
      <c r="H660" t="inlineStr">
        <is>
          <t>low</t>
        </is>
      </c>
      <c r="I660" t="inlineStr"/>
      <c r="J660" t="b">
        <v>0</v>
      </c>
      <c r="K660" t="inlineStr"/>
      <c r="L660" t="inlineStr">
        <is>
          <t>FEED
GENERAL
STORE
POST OFFICE
FERNIT</t>
        </is>
      </c>
      <c r="M660" t="inlineStr"/>
    </row>
    <row r="661">
      <c r="A661">
        <f>IMAGE("https://http2.mlstatic.com/D_NQ_NP_783759-MLM112455580220_062026-F.webp")</f>
        <v/>
      </c>
      <c r="B661" t="inlineStr">
        <is>
          <t>https://http2.mlstatic.com/D_NQ_NP_783759-MLM112455580220_062026-F.webp</t>
        </is>
      </c>
      <c r="C661" t="inlineStr">
        <is>
          <t>N-dirigido</t>
        </is>
      </c>
      <c r="D661" t="b">
        <v>0</v>
      </c>
      <c r="E661" t="b">
        <v>0</v>
      </c>
      <c r="F661" t="inlineStr">
        <is>
          <t>none</t>
        </is>
      </c>
      <c r="G661" t="inlineStr"/>
      <c r="H661" t="inlineStr">
        <is>
          <t>low</t>
        </is>
      </c>
      <c r="I661" t="inlineStr"/>
      <c r="J661" t="b">
        <v>0</v>
      </c>
      <c r="K661" t="inlineStr"/>
      <c r="L661" t="inlineStr">
        <is>
          <t xml:space="preserve">300
PP-12B
CONTORNAL
rech Rep
RFHM
-9028606 307/2014
PLG 13 264
MOPHA
RAAU/648/0714/14-1257) IC 75:24 796
MSIP-RAM-1AL 180222004 AKATEL
tion ret $15072204
CCAF11LP100116
in/y1 1A-235 MR 5833 ANRT 2010
16611230
Sw-50770
W
CUS114-15
CNC H-13fol
STA-2014 01
0 UN327960
ALP1650TS
120-RX1434 CM
ID 201
MR </t>
        </is>
      </c>
      <c r="M661" t="inlineStr"/>
    </row>
    <row r="662">
      <c r="A662">
        <f>IMAGE("https://http2.mlstatic.com/D_NQ_NP_884304-CBT112423877426_062026-F.webp")</f>
        <v/>
      </c>
      <c r="B662" t="inlineStr">
        <is>
          <t>https://http2.mlstatic.com/D_NQ_NP_884304-CBT112423877426_062026-F.webp</t>
        </is>
      </c>
      <c r="C662" t="inlineStr">
        <is>
          <t>N-dirigido</t>
        </is>
      </c>
      <c r="D662" t="b">
        <v>0</v>
      </c>
      <c r="E662" t="b">
        <v>0</v>
      </c>
      <c r="F662" t="inlineStr">
        <is>
          <t>none</t>
        </is>
      </c>
      <c r="G662" t="inlineStr"/>
      <c r="H662" t="inlineStr">
        <is>
          <t>low</t>
        </is>
      </c>
      <c r="I662" t="inlineStr"/>
      <c r="J662" t="b">
        <v>0</v>
      </c>
      <c r="K662" t="inlineStr"/>
      <c r="L662" t="inlineStr">
        <is>
          <t>AUTO SPURK PLUG THREAD REPAIR KIT
M10X1.0
M12X1.0
********00</t>
        </is>
      </c>
      <c r="M662" t="inlineStr"/>
    </row>
    <row r="663">
      <c r="A663">
        <f>IMAGE("https://http2.mlstatic.com/D_NQ_NP_734825-CBT106948483139_022026-F.webp")</f>
        <v/>
      </c>
      <c r="B663" t="inlineStr">
        <is>
          <t>https://http2.mlstatic.com/D_NQ_NP_734825-CBT106948483139_022026-F.webp</t>
        </is>
      </c>
      <c r="C663" t="inlineStr">
        <is>
          <t>N-dirigido</t>
        </is>
      </c>
      <c r="D663" t="b">
        <v>0</v>
      </c>
      <c r="E663" t="b">
        <v>0</v>
      </c>
      <c r="F663" t="inlineStr">
        <is>
          <t>none</t>
        </is>
      </c>
      <c r="G663" t="inlineStr"/>
      <c r="H663" t="inlineStr">
        <is>
          <t>low</t>
        </is>
      </c>
      <c r="I663" t="inlineStr"/>
      <c r="J663" t="b">
        <v>0</v>
      </c>
      <c r="K663" t="inlineStr"/>
      <c r="L663" t="inlineStr">
        <is>
          <t>Paradise
Stay offa mah
woman, y'a She
ismahne You
cayn't have her
B
RULLET
"IN 194
OTHE
PRETTIEST GIRL
SCHOOL I WON THE 4H
BEAUTY PAGEANT AND MADE
FINGER LOVE
TO
MICKEY
ROONEY."
PD
KHUAN
TRU
ราย
RADISE PD
SEPD
LICE</t>
        </is>
      </c>
      <c r="M663" t="inlineStr"/>
    </row>
    <row r="664">
      <c r="A664">
        <f>IMAGE("https://http2.mlstatic.com/D_NQ_NP_785292-CBT95477010274_102025-F.webp")</f>
        <v/>
      </c>
      <c r="B664" t="inlineStr">
        <is>
          <t>https://http2.mlstatic.com/D_NQ_NP_785292-CBT95477010274_102025-F.webp</t>
        </is>
      </c>
      <c r="C664" t="inlineStr">
        <is>
          <t>N-dirigido</t>
        </is>
      </c>
      <c r="D664" t="b">
        <v>0</v>
      </c>
      <c r="E664" t="b">
        <v>0</v>
      </c>
      <c r="F664" t="inlineStr">
        <is>
          <t>none</t>
        </is>
      </c>
      <c r="G664" t="inlineStr"/>
      <c r="H664" t="inlineStr">
        <is>
          <t>low</t>
        </is>
      </c>
      <c r="I664" t="inlineStr"/>
      <c r="J664" t="b">
        <v>0</v>
      </c>
      <c r="K664" t="inlineStr"/>
      <c r="L664" t="inlineStr">
        <is>
          <t>NIC
SON
NICE
DAY
աքf Jo
yoo
&amp;
Jan
Boo
Natio
va
your day and
ative thoughts
. Change how you in-
et or react to life's events.
you run out of coffee, change
your thoughts to, "If this is the
worst thing that could happen
oneself endlessly.
to me today, then the rest of my
change, to change is to mati</t>
        </is>
      </c>
      <c r="M664" t="inlineStr"/>
    </row>
    <row r="665">
      <c r="A665">
        <f>IMAGE("https://http2.mlstatic.com/D_NQ_NP_856153-MLA99844253339_112025-F.webp")</f>
        <v/>
      </c>
      <c r="B665" t="inlineStr">
        <is>
          <t>https://http2.mlstatic.com/D_NQ_NP_856153-MLA99844253339_112025-F.webp</t>
        </is>
      </c>
      <c r="C665" t="inlineStr">
        <is>
          <t>N-dirigido</t>
        </is>
      </c>
      <c r="D665" t="b">
        <v>0</v>
      </c>
      <c r="E665" t="b">
        <v>0</v>
      </c>
      <c r="F665" t="inlineStr">
        <is>
          <t>none</t>
        </is>
      </c>
      <c r="G665" t="inlineStr"/>
      <c r="H665" t="inlineStr">
        <is>
          <t>low</t>
        </is>
      </c>
      <c r="I665" t="inlineStr"/>
      <c r="J665" t="b">
        <v>0</v>
      </c>
      <c r="K665" t="inlineStr"/>
      <c r="L665" t="inlineStr">
        <is>
          <t>W
WALKER TAPE
The Leader in Hair Replacement Supplies en 1985
C-22
SOLVENT
GREAT CLEANER FOR SCALP AND HAIR SYSTEMS
FAST ACTING ON MOST TAPES AND SOFT BONDS
RINSES OFF WITH SOAP AND WATER
Fast
Acting
Gentle on
Skin
4 FL OZ (118 ml)</t>
        </is>
      </c>
      <c r="M665" t="inlineStr"/>
    </row>
    <row r="666">
      <c r="A666">
        <f>IMAGE("https://http2.mlstatic.com/D_NQ_NP_988453-CBT113647536133_062026-F.webp")</f>
        <v/>
      </c>
      <c r="B666" t="inlineStr">
        <is>
          <t>https://http2.mlstatic.com/D_NQ_NP_988453-CBT113647536133_062026-F.webp</t>
        </is>
      </c>
      <c r="C666" t="inlineStr">
        <is>
          <t>N-dirigido</t>
        </is>
      </c>
      <c r="D666" t="b">
        <v>0</v>
      </c>
      <c r="E666" t="inlineStr"/>
      <c r="F666" t="inlineStr"/>
      <c r="G666" t="inlineStr">
        <is>
          <t>PARSE_ERROR: !!!!!!!!!!!!!!!!!!!!!!!!!!!!!!!!!!!!!!!!!!!!!!!!!!!!!!!!!!!!!!!!!!!!!!!!!!!!!!!!!!!!!!!!!!!!!!!!!!!!!!!!!!!!!!!!!!!!!!!!!!!!!!!!!!!!!!!!!!!!!!!!!!!!!!!!!!!!!!!!!!!!!!!!!!!!!!!!!!!!!!!!!!!!!!!!!!!!!!!!</t>
        </is>
      </c>
      <c r="H666" t="inlineStr"/>
      <c r="I666" t="b">
        <v>0</v>
      </c>
      <c r="J666" t="b">
        <v>0</v>
      </c>
      <c r="K666" t="inlineStr"/>
      <c r="L666" t="inlineStr">
        <is>
          <t>ON OFF
S
306
Remote Control</t>
        </is>
      </c>
      <c r="M666" t="inlineStr"/>
    </row>
    <row r="667">
      <c r="A667">
        <f>IMAGE("https://http2.mlstatic.com/D_NQ_NP_917055-MLA112435073978_062026-F.webp")</f>
        <v/>
      </c>
      <c r="B667" t="inlineStr">
        <is>
          <t>https://http2.mlstatic.com/D_NQ_NP_917055-MLA112435073978_062026-F.webp</t>
        </is>
      </c>
      <c r="C667" t="inlineStr">
        <is>
          <t>N-dirigido</t>
        </is>
      </c>
      <c r="D667" t="b">
        <v>0</v>
      </c>
      <c r="E667" t="b">
        <v>1</v>
      </c>
      <c r="F667" t="inlineStr">
        <is>
          <t>badge</t>
        </is>
      </c>
      <c r="G667" t="inlineStr">
        <is>
          <t>Mas vendido</t>
        </is>
      </c>
      <c r="H667" t="inlineStr">
        <is>
          <t>high</t>
        </is>
      </c>
      <c r="I667" t="b">
        <v>0</v>
      </c>
      <c r="J667" t="b">
        <v>0</v>
      </c>
      <c r="K667" t="inlineStr"/>
      <c r="L667" t="inlineStr">
        <is>
          <t>Mometrix TEST PREPARATION
Sonography
Exam
Flashcard
Study System
Sonography Test Practice Questions &amp; Review for the
ARRT Sonography Exam
Mometrix
TEST
PREPARATION
rd Study S
The World's Most
Comprehensive
Test Preparation
Company™
Flashcard Study System
"Get the help you need
to ace your test today</t>
        </is>
      </c>
      <c r="M667" t="inlineStr"/>
    </row>
    <row r="668">
      <c r="A668">
        <f>IMAGE("https://http2.mlstatic.com/D_NQ_NP_790826-CBT113440838243_062026-F.webp")</f>
        <v/>
      </c>
      <c r="B668" t="inlineStr">
        <is>
          <t>https://http2.mlstatic.com/D_NQ_NP_790826-CBT113440838243_062026-F.webp</t>
        </is>
      </c>
      <c r="C668" t="inlineStr">
        <is>
          <t>N-dirigido</t>
        </is>
      </c>
      <c r="D668" t="b">
        <v>0</v>
      </c>
      <c r="E668" t="b">
        <v>0</v>
      </c>
      <c r="F668" t="inlineStr">
        <is>
          <t>none</t>
        </is>
      </c>
      <c r="G668" t="inlineStr"/>
      <c r="H668" t="inlineStr">
        <is>
          <t>low</t>
        </is>
      </c>
      <c r="I668" t="inlineStr"/>
      <c r="J668" t="b">
        <v>0</v>
      </c>
      <c r="K668" t="inlineStr"/>
      <c r="L668" t="inlineStr">
        <is>
          <t>N Power L
N Power L
kW.h
Ŵ V A
TO-Q-SY1-WT
16A-230V
WiFi
50/60Hz
TO-Q-SY1-JWT
16A-230V
WiFi
CE
50/60Hz
CE
Signal light
Light ON
Light Out: OFF NI LI
Signal light
Metering
གཡུ།
N Load L
N Load Lt</t>
        </is>
      </c>
      <c r="M668" t="inlineStr"/>
    </row>
    <row r="669">
      <c r="A669">
        <f>IMAGE("https://http2.mlstatic.com/D_NQ_NP_910288-CBT111270844663_052026-F.webp")</f>
        <v/>
      </c>
      <c r="B669" t="inlineStr">
        <is>
          <t>https://http2.mlstatic.com/D_NQ_NP_910288-CBT111270844663_052026-F.webp</t>
        </is>
      </c>
      <c r="C669" t="inlineStr">
        <is>
          <t>N-dirigido</t>
        </is>
      </c>
      <c r="D669" t="b">
        <v>0</v>
      </c>
      <c r="E669" t="b">
        <v>0</v>
      </c>
      <c r="F669" t="inlineStr">
        <is>
          <t>none</t>
        </is>
      </c>
      <c r="G669" t="inlineStr"/>
      <c r="H669" t="inlineStr">
        <is>
          <t>low</t>
        </is>
      </c>
      <c r="I669" t="inlineStr"/>
      <c r="J669" t="b">
        <v>0</v>
      </c>
      <c r="K669" t="inlineStr"/>
      <c r="L669" t="inlineStr">
        <is>
          <t>Mechanical Offsets Units in "MM
150.0
3-12VDC
ARP 50mA max</t>
        </is>
      </c>
      <c r="M669" t="inlineStr"/>
    </row>
    <row r="670">
      <c r="A670">
        <f>IMAGE("https://http2.mlstatic.com/D_NQ_NP_935228-CBT109253811695_032026-F.webp")</f>
        <v/>
      </c>
      <c r="B670" t="inlineStr">
        <is>
          <t>https://http2.mlstatic.com/D_NQ_NP_935228-CBT109253811695_032026-F.webp</t>
        </is>
      </c>
      <c r="C670" t="inlineStr">
        <is>
          <t>N-dirigido</t>
        </is>
      </c>
      <c r="D670" t="b">
        <v>0</v>
      </c>
      <c r="E670" t="b">
        <v>0</v>
      </c>
      <c r="F670" t="inlineStr">
        <is>
          <t>none</t>
        </is>
      </c>
      <c r="G670" t="inlineStr"/>
      <c r="H670" t="inlineStr">
        <is>
          <t>low</t>
        </is>
      </c>
      <c r="I670" t="inlineStr"/>
      <c r="J670" t="b">
        <v>0</v>
      </c>
      <c r="K670" t="inlineStr"/>
      <c r="L670" t="inlineStr">
        <is>
          <t>DIABETIC'S
FOOT CREAM
Promote Foot Health Relieve Itching and Dryness
20g</t>
        </is>
      </c>
      <c r="M670" t="inlineStr"/>
    </row>
    <row r="671">
      <c r="A671">
        <f>IMAGE("https://http2.mlstatic.com/D_NQ_NP_749957-MLM101204656116_122025-F.webp")</f>
        <v/>
      </c>
      <c r="B671" t="inlineStr">
        <is>
          <t>https://http2.mlstatic.com/D_NQ_NP_749957-MLM101204656116_122025-F.webp</t>
        </is>
      </c>
      <c r="C671" t="inlineStr">
        <is>
          <t>N-dirigido</t>
        </is>
      </c>
      <c r="D671" t="b">
        <v>0</v>
      </c>
      <c r="E671" t="b">
        <v>0</v>
      </c>
      <c r="F671" t="inlineStr">
        <is>
          <t>none</t>
        </is>
      </c>
      <c r="G671" t="inlineStr"/>
      <c r="H671" t="inlineStr">
        <is>
          <t>low</t>
        </is>
      </c>
      <c r="I671" t="inlineStr"/>
      <c r="J671" t="b">
        <v>0</v>
      </c>
      <c r="K671" t="inlineStr"/>
      <c r="L671" t="inlineStr">
        <is>
          <t>ARBUTIN 7.0+TXA 4.0 CREAM7%
POWERFUL ACTIVE INGREDIENTS
ARBUTIN 7% TRANEXAMIC ACID 4%
Advanced Treatment with 7% Arbutin and 4% Tranexamic Acid is formulated to help even
out skin tone and promote radiant skin
50 ml/1.69 fl. oz.
TOSOWOONG</t>
        </is>
      </c>
      <c r="M671" t="inlineStr"/>
    </row>
    <row r="672">
      <c r="A672">
        <f>IMAGE("https://http2.mlstatic.com/D_NQ_NP_871486-CBT113576819195_062026-F.webp")</f>
        <v/>
      </c>
      <c r="B672" t="inlineStr">
        <is>
          <t>https://http2.mlstatic.com/D_NQ_NP_871486-CBT113576819195_062026-F.webp</t>
        </is>
      </c>
      <c r="C672" t="inlineStr">
        <is>
          <t>N-dirigido</t>
        </is>
      </c>
      <c r="D672" t="b">
        <v>0</v>
      </c>
      <c r="E672" t="b">
        <v>0</v>
      </c>
      <c r="F672" t="inlineStr">
        <is>
          <t>none</t>
        </is>
      </c>
      <c r="G672" t="inlineStr"/>
      <c r="H672" t="inlineStr">
        <is>
          <t>low</t>
        </is>
      </c>
      <c r="I672" t="b">
        <v>0</v>
      </c>
      <c r="J672" t="b">
        <v>0</v>
      </c>
      <c r="K672" t="inlineStr"/>
      <c r="L672" t="inlineStr">
        <is>
          <t>SME312FPBQD
SENSOR PROGRAMMING
1. Press TEACH button until green power
LED flashes red (or turns off) and
yellow output LED is on.
2. Present "on" condition. Click TEACH
button. Output LED will turn off.
3. Present "off" condition. Click TEACH
button. Power LED turns green
when settings are accepted</t>
        </is>
      </c>
      <c r="M672" t="inlineStr"/>
    </row>
    <row r="673">
      <c r="A673">
        <f>IMAGE("https://http2.mlstatic.com/D_NQ_NP_856222-CBT112183033372_062026-F.webp")</f>
        <v/>
      </c>
      <c r="B673" t="inlineStr">
        <is>
          <t>https://http2.mlstatic.com/D_NQ_NP_856222-CBT112183033372_062026-F.webp</t>
        </is>
      </c>
      <c r="C673" t="inlineStr">
        <is>
          <t>N-dirigido</t>
        </is>
      </c>
      <c r="D673" t="b">
        <v>0</v>
      </c>
      <c r="E673" t="b">
        <v>0</v>
      </c>
      <c r="F673" t="inlineStr">
        <is>
          <t>none</t>
        </is>
      </c>
      <c r="G673" t="inlineStr">
        <is>
          <t>text or object overlaid on the product</t>
        </is>
      </c>
      <c r="H673" t="inlineStr">
        <is>
          <t>low</t>
        </is>
      </c>
      <c r="I673" t="inlineStr"/>
      <c r="J673" t="b">
        <v>0</v>
      </c>
      <c r="K673" t="inlineStr"/>
      <c r="L673" t="inlineStr">
        <is>
          <t>NXB-63 (
C40
230V-
50Hz
6000A
IEC60898-14ION
GB10963.1
O OFF</t>
        </is>
      </c>
      <c r="M673" t="inlineStr"/>
    </row>
    <row r="674">
      <c r="A674">
        <f>IMAGE("https://http2.mlstatic.com/D_NQ_NP_778689-CBT113435579197_062026-F.webp")</f>
        <v/>
      </c>
      <c r="B674" t="inlineStr">
        <is>
          <t>https://http2.mlstatic.com/D_NQ_NP_778689-CBT113435579197_062026-F.webp</t>
        </is>
      </c>
      <c r="C674" t="inlineStr">
        <is>
          <t>N-dirigido</t>
        </is>
      </c>
      <c r="D674" t="b">
        <v>0</v>
      </c>
      <c r="E674" t="b">
        <v>0</v>
      </c>
      <c r="F674" t="inlineStr">
        <is>
          <t>none</t>
        </is>
      </c>
      <c r="G674" t="inlineStr"/>
      <c r="H674" t="inlineStr">
        <is>
          <t>low</t>
        </is>
      </c>
      <c r="I674" t="inlineStr"/>
      <c r="J674" t="b">
        <v>0</v>
      </c>
      <c r="K674" t="inlineStr"/>
      <c r="L674" t="inlineStr">
        <is>
          <t>simple and Repair is strong
Repair Paint
Metope
O
11
.Net flavour environmental
It is not easy to fall off
Open the can be used
Easy construction
Net content: 250g
NEW HOUSEKEEPER
XIGUANJIA
mini 2023
Smaii Roller-Multi
Color Mini Paint
Designers select colors
Water-based environmentat protection
new</t>
        </is>
      </c>
      <c r="M674" t="inlineStr"/>
    </row>
    <row r="675">
      <c r="A675">
        <f>IMAGE("https://http2.mlstatic.com/D_NQ_NP_705823-CBT113438690411_062026-F.webp")</f>
        <v/>
      </c>
      <c r="B675" t="inlineStr">
        <is>
          <t>https://http2.mlstatic.com/D_NQ_NP_705823-CBT113438690411_062026-F.webp</t>
        </is>
      </c>
      <c r="C675" t="inlineStr">
        <is>
          <t>N-dirigido</t>
        </is>
      </c>
      <c r="D675" t="b">
        <v>0</v>
      </c>
      <c r="E675" t="b">
        <v>0</v>
      </c>
      <c r="F675" t="inlineStr">
        <is>
          <t>none</t>
        </is>
      </c>
      <c r="G675" t="inlineStr"/>
      <c r="H675" t="inlineStr">
        <is>
          <t>low</t>
        </is>
      </c>
      <c r="I675" t="inlineStr"/>
      <c r="J675" t="b">
        <v>0</v>
      </c>
      <c r="K675" t="inlineStr"/>
      <c r="L675" t="inlineStr">
        <is>
          <t>DZ47-63
502
400V-
50034
ECCESE-1
C63
CE
DZ47-63
50м2
400V-
6000A
C63
CE
IEC60696-1 OFF
DZ47-63
C63
CE
SOME
400V-
6000A
10%
IEC60055-1 OFF
DZ47-100
50Hz
IEC609472 +ION
+OOFF
10KA
CE
1357
DZ47-100
C80
230400-
CE
C80
400V-
24r
50Hz
IEC60947-2 +ION
10KA
COFF
DZ47-63
C63
CЄ
60004
171
2 4 6 ar
135
DZ47-10</t>
        </is>
      </c>
      <c r="M675" t="inlineStr"/>
    </row>
    <row r="676">
      <c r="A676">
        <f>IMAGE("https://http2.mlstatic.com/D_NQ_NP_780526-CBT112377575622_062026-F.webp")</f>
        <v/>
      </c>
      <c r="B676" t="inlineStr">
        <is>
          <t>https://http2.mlstatic.com/D_NQ_NP_780526-CBT112377575622_062026-F.webp</t>
        </is>
      </c>
      <c r="C676" t="inlineStr">
        <is>
          <t>N-dirigido</t>
        </is>
      </c>
      <c r="D676" t="b">
        <v>0</v>
      </c>
      <c r="E676" t="b">
        <v>0</v>
      </c>
      <c r="F676" t="inlineStr">
        <is>
          <t>none</t>
        </is>
      </c>
      <c r="G676" t="inlineStr"/>
      <c r="H676" t="inlineStr">
        <is>
          <t>low</t>
        </is>
      </c>
      <c r="I676" t="inlineStr"/>
      <c r="J676" t="b">
        <v>0</v>
      </c>
      <c r="K676" t="inlineStr"/>
      <c r="L676" t="inlineStr">
        <is>
          <t>(OPI
ON OFF
M103 2.4G+Bluetooth
OPI
Wireless Mouse
Press this key for 3 seconds to
turn off the LED (Only for LED Ver.)
Win: Back to desktop
Mac: D
凸
0.9%
FCCE®
Made In China
BT</t>
        </is>
      </c>
      <c r="M676" t="inlineStr"/>
    </row>
    <row r="677">
      <c r="A677">
        <f>IMAGE("https://http2.mlstatic.com/D_NQ_NP_890159-CBT109101871281_032026-F.webp")</f>
        <v/>
      </c>
      <c r="B677" t="inlineStr">
        <is>
          <t>https://http2.mlstatic.com/D_NQ_NP_890159-CBT109101871281_032026-F.webp</t>
        </is>
      </c>
      <c r="C677" t="inlineStr">
        <is>
          <t>N-dirigido</t>
        </is>
      </c>
      <c r="D677" t="b">
        <v>0</v>
      </c>
      <c r="E677" t="b">
        <v>0</v>
      </c>
      <c r="F677" t="inlineStr">
        <is>
          <t>none</t>
        </is>
      </c>
      <c r="G677" t="inlineStr"/>
      <c r="H677" t="inlineStr">
        <is>
          <t>low</t>
        </is>
      </c>
      <c r="I677" t="inlineStr"/>
      <c r="J677" t="b">
        <v>0</v>
      </c>
      <c r="K677" t="inlineStr"/>
      <c r="L677" t="inlineStr">
        <is>
          <t>TH
3
ALL OFF
LIGHT
ONCOFF
8
FAN/OFF
5
6
2H
4H
R</t>
        </is>
      </c>
      <c r="M677" t="inlineStr"/>
    </row>
    <row r="678">
      <c r="A678">
        <f>IMAGE("https://http2.mlstatic.com/D_NQ_NP_943176-CBT106827682009_022026-F.webp")</f>
        <v/>
      </c>
      <c r="B678" t="inlineStr">
        <is>
          <t>https://http2.mlstatic.com/D_NQ_NP_943176-CBT106827682009_022026-F.webp</t>
        </is>
      </c>
      <c r="C678" t="inlineStr">
        <is>
          <t>N-dirigido</t>
        </is>
      </c>
      <c r="D678" t="b">
        <v>0</v>
      </c>
      <c r="E678" t="b">
        <v>0</v>
      </c>
      <c r="F678" t="inlineStr">
        <is>
          <t>none</t>
        </is>
      </c>
      <c r="G678" t="inlineStr"/>
      <c r="H678" t="inlineStr">
        <is>
          <t>low</t>
        </is>
      </c>
      <c r="I678" t="inlineStr"/>
      <c r="J678" t="b">
        <v>0</v>
      </c>
      <c r="K678" t="inlineStr"/>
      <c r="L678" t="inlineStr">
        <is>
          <t>INPUT 220V/50Hz
TURN TO LOCK
TURN
CH4
OUT CH 3
CH1
CH3
CH2
TO LOCK
CH4
TURY
TO LOCK
TURY
TO LOCK
CH 4 IN-CH3
LINK OUT
-IN-CH2-OUT PARALLEL ON OFF
OUT CH 1-IN
-LINK OUT</t>
        </is>
      </c>
      <c r="M678" t="inlineStr"/>
    </row>
    <row r="679">
      <c r="A679">
        <f>IMAGE("https://http2.mlstatic.com/D_NQ_NP_705786-CBT112305521220_062026-F.webp")</f>
        <v/>
      </c>
      <c r="B679" t="inlineStr">
        <is>
          <t>https://http2.mlstatic.com/D_NQ_NP_705786-CBT112305521220_062026-F.webp</t>
        </is>
      </c>
      <c r="C679" t="inlineStr">
        <is>
          <t>N-dirigido</t>
        </is>
      </c>
      <c r="D679" t="b">
        <v>0</v>
      </c>
      <c r="E679" t="b">
        <v>0</v>
      </c>
      <c r="F679" t="inlineStr">
        <is>
          <t>none</t>
        </is>
      </c>
      <c r="G679" t="inlineStr"/>
      <c r="H679" t="inlineStr">
        <is>
          <t>low</t>
        </is>
      </c>
      <c r="I679" t="inlineStr"/>
      <c r="J679" t="b">
        <v>0</v>
      </c>
      <c r="K679" t="inlineStr"/>
      <c r="L679" t="inlineStr">
        <is>
          <t>advanced envionment
friendly spiraea
advanced envionment
friendly spiraea
advanced envionment
friendly spiraea
friendly spiraea
friendly spiraea
advameed-envionment
friendly spiraea
advanced envionment
friendly spiraea
friendly spiraea
Good quality good color
Good quality good color
friendly spiraea</t>
        </is>
      </c>
      <c r="M679" t="inlineStr"/>
    </row>
    <row r="680">
      <c r="A680">
        <f>IMAGE("https://http2.mlstatic.com/D_NQ_NP_715408-CBT113464482223_062026-F.webp")</f>
        <v/>
      </c>
      <c r="B680" t="inlineStr">
        <is>
          <t>https://http2.mlstatic.com/D_NQ_NP_715408-CBT113464482223_062026-F.webp</t>
        </is>
      </c>
      <c r="C680" t="inlineStr">
        <is>
          <t>N-dirigido</t>
        </is>
      </c>
      <c r="D680" t="b">
        <v>0</v>
      </c>
      <c r="E680" t="b">
        <v>0</v>
      </c>
      <c r="F680" t="inlineStr">
        <is>
          <t>none</t>
        </is>
      </c>
      <c r="G680" t="inlineStr"/>
      <c r="H680" t="inlineStr">
        <is>
          <t>low</t>
        </is>
      </c>
      <c r="I680" t="inlineStr"/>
      <c r="J680" t="b">
        <v>0</v>
      </c>
      <c r="K680" t="inlineStr"/>
      <c r="L680" t="inlineStr">
        <is>
          <t>VILTROX
IN
ST
OFF $2
Full 1/2
A OFF M
10</t>
        </is>
      </c>
      <c r="M680" t="inlineStr"/>
    </row>
    <row r="681">
      <c r="A681">
        <f>IMAGE("https://http2.mlstatic.com/D_NQ_NP_604060-CBT113508219345_062026-F.webp")</f>
        <v/>
      </c>
      <c r="B681" t="inlineStr">
        <is>
          <t>https://http2.mlstatic.com/D_NQ_NP_604060-CBT113508219345_062026-F.webp</t>
        </is>
      </c>
      <c r="C681" t="inlineStr">
        <is>
          <t>N-dirigido</t>
        </is>
      </c>
      <c r="D681" t="b">
        <v>0</v>
      </c>
      <c r="E681" t="b">
        <v>0</v>
      </c>
      <c r="F681" t="inlineStr">
        <is>
          <t>none</t>
        </is>
      </c>
      <c r="G681" t="inlineStr"/>
      <c r="H681" t="inlineStr">
        <is>
          <t>low</t>
        </is>
      </c>
      <c r="I681" t="inlineStr"/>
      <c r="J681" t="b">
        <v>0</v>
      </c>
      <c r="K681" t="inlineStr"/>
      <c r="L681" t="inlineStr">
        <is>
          <t>v
Durable, Galvanized Steel
Airflow Holes for Burning
&gt;
Tear Off the Blue Film Before Using</t>
        </is>
      </c>
      <c r="M681" t="inlineStr"/>
    </row>
    <row r="682">
      <c r="A682">
        <f>IMAGE("https://http2.mlstatic.com/D_NQ_NP_893382-CBT112282115342_062026-F.webp")</f>
        <v/>
      </c>
      <c r="B682" t="inlineStr">
        <is>
          <t>https://http2.mlstatic.com/D_NQ_NP_893382-CBT112282115342_062026-F.webp</t>
        </is>
      </c>
      <c r="C682" t="inlineStr">
        <is>
          <t>N-dirigido</t>
        </is>
      </c>
      <c r="D682" t="b">
        <v>0</v>
      </c>
      <c r="E682" t="b">
        <v>0</v>
      </c>
      <c r="F682" t="inlineStr">
        <is>
          <t>none</t>
        </is>
      </c>
      <c r="G682" t="inlineStr"/>
      <c r="H682" t="inlineStr">
        <is>
          <t>low</t>
        </is>
      </c>
      <c r="I682" t="inlineStr"/>
      <c r="J682" t="b">
        <v>0</v>
      </c>
      <c r="K682" t="inlineStr"/>
      <c r="L682" t="inlineStr">
        <is>
          <t>TV CONTROL
STB POWER
TV IN
VOL- (VOL+
ว
3
1
2
4
5
6
7
8
9
LAST
FAV
O
DEL
How to program VOL
VOL Keys
1.Press and hold for 5 seconds.
the LED goss from blinking to
solid and STB RCU enters
Learning Mode.
2.Press the key to be programmed
on this RCU.LED begins blinking
slowly. The Key is ready to acce</t>
        </is>
      </c>
      <c r="M682" t="inlineStr"/>
    </row>
    <row r="683">
      <c r="A683">
        <f>IMAGE("https://http2.mlstatic.com/D_NQ_NP_972627-CBT113345519837_062026-F.webp")</f>
        <v/>
      </c>
      <c r="B683" t="inlineStr">
        <is>
          <t>https://http2.mlstatic.com/D_NQ_NP_972627-CBT113345519837_062026-F.webp</t>
        </is>
      </c>
      <c r="C683" t="inlineStr">
        <is>
          <t>N-dirigido</t>
        </is>
      </c>
      <c r="D683" t="b">
        <v>0</v>
      </c>
      <c r="E683" t="b">
        <v>0</v>
      </c>
      <c r="F683" t="inlineStr">
        <is>
          <t>none</t>
        </is>
      </c>
      <c r="G683" t="inlineStr"/>
      <c r="H683" t="inlineStr">
        <is>
          <t>low</t>
        </is>
      </c>
      <c r="I683" t="inlineStr"/>
      <c r="J683" t="b">
        <v>0</v>
      </c>
      <c r="K683" t="inlineStr"/>
      <c r="L683" t="inlineStr">
        <is>
          <t>638x9=72 9x9-81 10x9=90 11x9-99 12
x7-56 9x7=63 10x7=70 11x7=77 12x7
1x1=1 2x1=2 3x1=3 4x1=45
72 10x8=80 11x8=88 12x8=96
1x8
9x11-99
x4=44
2-84 8
11-44 5x11-55 6x11=66 7x11=77 8x1
7x4-28 8x4-32 9x4=36 10x4=4
24 3x12=36 4x12=48 5x12=60 6x12=72
5:30 7x5=35 8x5=40 9x5=45 10x5
07x10-70 8x10=80 9x10=90 1</t>
        </is>
      </c>
      <c r="M683" t="inlineStr"/>
    </row>
    <row r="684">
      <c r="A684">
        <f>IMAGE("https://http2.mlstatic.com/D_NQ_NP_974760-CBT112304473974_062026-F.webp")</f>
        <v/>
      </c>
      <c r="B684" t="inlineStr">
        <is>
          <t>https://http2.mlstatic.com/D_NQ_NP_974760-CBT112304473974_062026-F.webp</t>
        </is>
      </c>
      <c r="C684" t="inlineStr">
        <is>
          <t>N-dirigido</t>
        </is>
      </c>
      <c r="D684" t="b">
        <v>0</v>
      </c>
      <c r="E684" t="b">
        <v>0</v>
      </c>
      <c r="F684" t="inlineStr">
        <is>
          <t>none</t>
        </is>
      </c>
      <c r="G684" t="inlineStr"/>
      <c r="H684" t="inlineStr">
        <is>
          <t>low</t>
        </is>
      </c>
      <c r="I684" t="inlineStr"/>
      <c r="J684" t="b">
        <v>0</v>
      </c>
      <c r="K684" t="inlineStr"/>
      <c r="L684" t="inlineStr">
        <is>
          <t>CARPLATEFRAMES.com
CARPLATEFRAMES.com
Get off my Tail</t>
        </is>
      </c>
      <c r="M684" t="inlineStr"/>
    </row>
    <row r="685">
      <c r="A685">
        <f>IMAGE("https://http2.mlstatic.com/D_NQ_NP_853935-MCO112281768360_062026-F.webp")</f>
        <v/>
      </c>
      <c r="B685" t="inlineStr">
        <is>
          <t>https://http2.mlstatic.com/D_NQ_NP_853935-MCO112281768360_062026-F.webp</t>
        </is>
      </c>
      <c r="C685" t="inlineStr">
        <is>
          <t>N-dirigido</t>
        </is>
      </c>
      <c r="D685" t="b">
        <v>0</v>
      </c>
      <c r="E685" t="b">
        <v>0</v>
      </c>
      <c r="F685" t="inlineStr">
        <is>
          <t>none</t>
        </is>
      </c>
      <c r="G685" t="inlineStr"/>
      <c r="H685" t="inlineStr">
        <is>
          <t>low</t>
        </is>
      </c>
      <c r="I685" t="inlineStr"/>
      <c r="J685" t="b">
        <v>0</v>
      </c>
      <c r="K685" t="inlineStr"/>
      <c r="L685" t="inlineStr">
        <is>
          <t>APPLEGATE
ORGANICS
NO ANTIBIOTICS EVER*
APPLEGATE HUMANELY RAISED*
UNCURED
GENOA SALAMI
NO NITRATES OR NITRITES ADDED EXCEPT THOSE NATURALLY OCCURRING IN
SEA SALT AND CULTURED CELERY JUICE POWDER GLUTEN &amp; CASEIN FREE
KEEP REFRIGERATED FOR BEST QUALITY NET WT. 4 OZ. (113g)
USDA
ORGANIC
*Pork never ad</t>
        </is>
      </c>
      <c r="M685" t="inlineStr"/>
    </row>
    <row r="686">
      <c r="A686">
        <f>IMAGE("https://http2.mlstatic.com/D_NQ_NP_942525-CBT112392880954_062026-F.webp")</f>
        <v/>
      </c>
      <c r="B686" t="inlineStr">
        <is>
          <t>https://http2.mlstatic.com/D_NQ_NP_942525-CBT112392880954_062026-F.webp</t>
        </is>
      </c>
      <c r="C686" t="inlineStr">
        <is>
          <t>N-dirigido</t>
        </is>
      </c>
      <c r="D686" t="b">
        <v>0</v>
      </c>
      <c r="E686" t="b">
        <v>0</v>
      </c>
      <c r="F686" t="inlineStr">
        <is>
          <t>none</t>
        </is>
      </c>
      <c r="G686" t="inlineStr"/>
      <c r="H686" t="inlineStr">
        <is>
          <t>low</t>
        </is>
      </c>
      <c r="I686" t="inlineStr"/>
      <c r="J686" t="b">
        <v>0</v>
      </c>
      <c r="K686" t="inlineStr"/>
      <c r="L686" t="inlineStr">
        <is>
          <t>A B C D E
9x10cm
(3.5x3.9inch)
9x10cm
(3.5x3.9inch)
9x10cm
(3.5x3.9inch)
9x10cm
(3.5x3.9inch)
9x10cm
(3.5x3.9inch)
F G H I
GH J
9x10cm
(3.5x3.9inch)
9x10cm
(3.5x3.9inch)
9x10cm
(3.5x3.9inch)
5x10cm
(1.9x3.9inch)
5x10cm
(1.9x3.9inch)
K L M
NO
9x10cm
(3.5x3.9inch)
9x10cm
(3.5x3.9inch)
10x10cm
(3.9x3.9</t>
        </is>
      </c>
      <c r="M686" t="inlineStr"/>
    </row>
    <row r="687">
      <c r="A687">
        <f>IMAGE("https://http2.mlstatic.com/D_NQ_NP_648262-MLA112398301346_062026-F.webp")</f>
        <v/>
      </c>
      <c r="B687" t="inlineStr">
        <is>
          <t>https://http2.mlstatic.com/D_NQ_NP_648262-MLA112398301346_062026-F.webp</t>
        </is>
      </c>
      <c r="C687" t="inlineStr">
        <is>
          <t>N-dirigido</t>
        </is>
      </c>
      <c r="D687" t="b">
        <v>0</v>
      </c>
      <c r="E687" t="b">
        <v>0</v>
      </c>
      <c r="F687" t="inlineStr">
        <is>
          <t>none</t>
        </is>
      </c>
      <c r="G687" t="inlineStr"/>
      <c r="H687" t="inlineStr">
        <is>
          <t>low</t>
        </is>
      </c>
      <c r="I687" t="inlineStr"/>
      <c r="J687" t="b">
        <v>0</v>
      </c>
      <c r="K687" t="inlineStr"/>
      <c r="L687" t="inlineStr">
        <is>
          <t>EMERSON
5:15pm
Heat Off Cool
Room Temperature
W
Set To
70
Auto On
System
Hold/Run
Fan
Menu</t>
        </is>
      </c>
      <c r="M687" t="inlineStr"/>
    </row>
    <row r="688">
      <c r="A688">
        <f>IMAGE("https://http2.mlstatic.com/D_NQ_NP_752809-CBT112308088724_062026-F.webp")</f>
        <v/>
      </c>
      <c r="B688" t="inlineStr">
        <is>
          <t>https://http2.mlstatic.com/D_NQ_NP_752809-CBT112308088724_062026-F.webp</t>
        </is>
      </c>
      <c r="C688" t="inlineStr">
        <is>
          <t>N-dirigido</t>
        </is>
      </c>
      <c r="D688" t="b">
        <v>0</v>
      </c>
      <c r="E688" t="b">
        <v>0</v>
      </c>
      <c r="F688" t="inlineStr">
        <is>
          <t>none</t>
        </is>
      </c>
      <c r="G688" t="inlineStr"/>
      <c r="H688" t="inlineStr">
        <is>
          <t>low</t>
        </is>
      </c>
      <c r="I688" t="inlineStr"/>
      <c r="J688" t="b">
        <v>0</v>
      </c>
      <c r="K688" t="inlineStr"/>
      <c r="L688" t="inlineStr">
        <is>
          <t xml:space="preserve">Supvintor
Trimmer Line
GRAZY CUT(GENERAL GRADE)
CONOMY FOR DIY&amp;HOME
FITS ALTANDARD TRIMMER HEAD
065/1.65MM
0.080"/2.0MM
SQUARE CU
0.095"/2.4MM
D.105"/2.7MM
130"/3.3MM
0.1557/4.0MM
SLB
Safety Precautions
Always turn off engine and remove spark plug wire or electric cord before replacing line.
Always </t>
        </is>
      </c>
      <c r="M688" t="inlineStr"/>
    </row>
    <row r="689">
      <c r="A689">
        <f>IMAGE("https://http2.mlstatic.com/D_NQ_NP_664780-MCO112304541534_062026-F.webp")</f>
        <v/>
      </c>
      <c r="B689" t="inlineStr">
        <is>
          <t>https://http2.mlstatic.com/D_NQ_NP_664780-MCO112304541534_062026-F.webp</t>
        </is>
      </c>
      <c r="C689" t="inlineStr">
        <is>
          <t>N-dirigido</t>
        </is>
      </c>
      <c r="D689" t="b">
        <v>0</v>
      </c>
      <c r="E689" t="b">
        <v>1</v>
      </c>
      <c r="F689" t="inlineStr">
        <is>
          <t>badge</t>
        </is>
      </c>
      <c r="G689" t="inlineStr">
        <is>
          <t>Mas vendido</t>
        </is>
      </c>
      <c r="H689" t="inlineStr">
        <is>
          <t>medium</t>
        </is>
      </c>
      <c r="I689" t="b">
        <v>0</v>
      </c>
      <c r="J689" t="b">
        <v>0</v>
      </c>
      <c r="K689" t="inlineStr"/>
      <c r="L689" t="inlineStr">
        <is>
          <t xml:space="preserve">Made from
WHOLE GRAIN
No Preservatives or
Moring Added
Ne specialize
n gluten free pastas
Jur entire production facility
and all machines are
dedicated to the manufacture
of rice pasta - no other grain,
ereal, nut or soy is used
to prevent cross-grain
contamination at production.
See back panel for
</t>
        </is>
      </c>
      <c r="M689" t="inlineStr"/>
    </row>
    <row r="690">
      <c r="A690">
        <f>IMAGE("https://http2.mlstatic.com/D_NQ_NP_844490-CBT113500245213_062026-F.webp")</f>
        <v/>
      </c>
      <c r="B690" t="inlineStr">
        <is>
          <t>https://http2.mlstatic.com/D_NQ_NP_844490-CBT113500245213_062026-F.webp</t>
        </is>
      </c>
      <c r="C690" t="inlineStr">
        <is>
          <t>N-dirigido</t>
        </is>
      </c>
      <c r="D690" t="b">
        <v>0</v>
      </c>
      <c r="E690" t="b">
        <v>0</v>
      </c>
      <c r="F690" t="inlineStr">
        <is>
          <t>none</t>
        </is>
      </c>
      <c r="G690" t="inlineStr"/>
      <c r="H690" t="inlineStr">
        <is>
          <t>low</t>
        </is>
      </c>
      <c r="I690" t="inlineStr"/>
      <c r="J690" t="b">
        <v>0</v>
      </c>
      <c r="K690" t="inlineStr"/>
      <c r="L690" t="inlineStr">
        <is>
          <t>YUHUAN
Aromatherapy candles are very
much like walking in the fields in early spring
They are the smell of fresh plants
sprouting and growing
and the small offi
flesh. Tuschia
fuchsia, rose,
Bu
lue
eshi
ep in the
nakes you happy
e sky at dawn, per</t>
        </is>
      </c>
      <c r="M690" t="inlineStr"/>
    </row>
    <row r="691">
      <c r="A691">
        <f>IMAGE("https://http2.mlstatic.com/D_NQ_NP_896808-CBT113650903127_062026-F.webp")</f>
        <v/>
      </c>
      <c r="B691" t="inlineStr">
        <is>
          <t>https://http2.mlstatic.com/D_NQ_NP_896808-CBT113650903127_062026-F.webp</t>
        </is>
      </c>
      <c r="C691" t="inlineStr">
        <is>
          <t>N-dirigido</t>
        </is>
      </c>
      <c r="D691" t="b">
        <v>0</v>
      </c>
      <c r="E691" t="b">
        <v>0</v>
      </c>
      <c r="F691" t="inlineStr">
        <is>
          <t>none</t>
        </is>
      </c>
      <c r="G691" t="inlineStr">
        <is>
          <t>no text or overlays</t>
        </is>
      </c>
      <c r="H691" t="inlineStr">
        <is>
          <t>high</t>
        </is>
      </c>
      <c r="I691" t="inlineStr"/>
      <c r="J691" t="b">
        <v>0</v>
      </c>
      <c r="K691" t="inlineStr"/>
      <c r="L691" t="inlineStr">
        <is>
          <t>000000 000000
Power Step motor Driver
V+
B1206
GND
Sw2
A+
ON
Two pulse
OFF
A-
| B+
| B-
Single pulse
Sw3
ON
1/2step
OFF
1 step
Electric current fixed
Ena-
Sw6
Sw7 Sw8
81206
OFF
OFF
OFF
1.9A
Ena+
ON
OFF
OFF
2.4A
Pul- ON
OFF
ON
OFF
3.0A
ON
OFF
3.6A
Pul+ OFF
OFF
ON
4.2A
ON
OFF
ON
4.8A
Dir-
OFF
ON
ON
5.</t>
        </is>
      </c>
      <c r="M691" t="inlineStr"/>
    </row>
    <row r="692">
      <c r="A692">
        <f>IMAGE("https://http2.mlstatic.com/D_NQ_NP_601782-CBT81545013078_012025-F.webp")</f>
        <v/>
      </c>
      <c r="B692" t="inlineStr">
        <is>
          <t>https://http2.mlstatic.com/D_NQ_NP_601782-CBT81545013078_012025-F.webp</t>
        </is>
      </c>
      <c r="C692" t="inlineStr">
        <is>
          <t>N-dirigido</t>
        </is>
      </c>
      <c r="D692" t="b">
        <v>0</v>
      </c>
      <c r="E692" t="b">
        <v>0</v>
      </c>
      <c r="F692" t="inlineStr">
        <is>
          <t>none</t>
        </is>
      </c>
      <c r="G692" t="inlineStr"/>
      <c r="H692" t="inlineStr">
        <is>
          <t>low</t>
        </is>
      </c>
      <c r="I692" t="inlineStr"/>
      <c r="J692" t="b">
        <v>0</v>
      </c>
      <c r="K692" t="inlineStr"/>
      <c r="L692" t="inlineStr">
        <is>
          <t>MODEL
5.29X1.78
15pcs
6.07X1.78
7.65X1.78
10.82X1.78
14X1.78
6.8X1.9
15pcs
15pcs
15pcs
15pcs
15pcs
11X2
15pcs
12.42X1.78
9.2X2.62
10.77X2.62
10.8X2.4
13.8X2.4
15pcs
15pcs
10pcs
10pcs
10pcs
20X2.4
22X2.4
24X2.4
21X3.1
26X3.5
24X3.1
10pcs
10pcs
10pcs
10pcs
10pcs
10pcs
Total Amount 225PCS
Lau
Vize PS
R</t>
        </is>
      </c>
      <c r="M692" t="inlineStr"/>
    </row>
    <row r="693">
      <c r="A693">
        <f>IMAGE("https://http2.mlstatic.com/D_NQ_NP_708883-MLA109771517209_032026-F.webp")</f>
        <v/>
      </c>
      <c r="B693" t="inlineStr">
        <is>
          <t>https://http2.mlstatic.com/D_NQ_NP_708883-MLA109771517209_032026-F.webp</t>
        </is>
      </c>
      <c r="C693" t="inlineStr">
        <is>
          <t>N-dirigido</t>
        </is>
      </c>
      <c r="D693" t="b">
        <v>0</v>
      </c>
      <c r="E693" t="b">
        <v>0</v>
      </c>
      <c r="F693" t="inlineStr">
        <is>
          <t>none</t>
        </is>
      </c>
      <c r="G693" t="inlineStr"/>
      <c r="H693" t="inlineStr">
        <is>
          <t>high</t>
        </is>
      </c>
      <c r="I693" t="inlineStr"/>
      <c r="J693" t="b">
        <v>0</v>
      </c>
      <c r="K693" t="inlineStr"/>
      <c r="L693" t="inlineStr">
        <is>
          <t>Microstep Driver
DM556
Current Table
Ponk SW1 SW2 SWO
PWRIALM
PUL (5V-24V)
PUL-(PUL)
DIR-(5V-24V)
DIR-(DIR)
0 0 0 0 0 0
1:4A
on
on
an
2.1A
off
on
on
2.7 A
an
off
an
3.2A
off
off
on
3.06
on
on
off
ENA (6V-24V)
4.3A
off
on
49A
on
off
aff
ENA (ENA)
5.6A
off
off
alf
SWB
SW4 off Hall Current on Full Curr</t>
        </is>
      </c>
      <c r="M693" t="inlineStr"/>
    </row>
    <row r="694">
      <c r="A694">
        <f>IMAGE("https://http2.mlstatic.com/D_NQ_NP_733840-CBT83352578148_042025-F.webp")</f>
        <v/>
      </c>
      <c r="B694" t="inlineStr">
        <is>
          <t>https://http2.mlstatic.com/D_NQ_NP_733840-CBT83352578148_042025-F.webp</t>
        </is>
      </c>
      <c r="C694" t="inlineStr">
        <is>
          <t>N-dirigido</t>
        </is>
      </c>
      <c r="D694" t="b">
        <v>0</v>
      </c>
      <c r="E694" t="b">
        <v>0</v>
      </c>
      <c r="F694" t="inlineStr">
        <is>
          <t>none</t>
        </is>
      </c>
      <c r="G694" t="inlineStr"/>
      <c r="H694" t="inlineStr">
        <is>
          <t>low</t>
        </is>
      </c>
      <c r="I694" t="inlineStr"/>
      <c r="J694" t="b">
        <v>0</v>
      </c>
      <c r="K694" t="inlineStr"/>
      <c r="L694" t="inlineStr">
        <is>
          <t>Hold/
Auto
SZ309
DC AC + MAX MIN
8888
MkQ
hFEHz
CFA
nmFV
DIGITAL MULTIMETER
SELECT
MA
A
OFF
OFF
HAGMET
ZH #
Ω
10A
TRUE
RMS
COM
VQHZ
HmA
10 sec MAX
UNFUSED
MAX 600V
200mA/250V
CE AUTO POWER OFF
A1000V MAX
回
A1000V MAX</t>
        </is>
      </c>
      <c r="M694" t="inlineStr"/>
    </row>
    <row r="695">
      <c r="A695">
        <f>IMAGE("https://http2.mlstatic.com/D_NQ_NP_896135-CBT99126508804_112025-F.webp")</f>
        <v/>
      </c>
      <c r="B695" t="inlineStr">
        <is>
          <t>https://http2.mlstatic.com/D_NQ_NP_896135-CBT99126508804_112025-F.webp</t>
        </is>
      </c>
      <c r="C695" t="inlineStr">
        <is>
          <t>N-dirigido</t>
        </is>
      </c>
      <c r="D695" t="b">
        <v>0</v>
      </c>
      <c r="E695" t="b">
        <v>0</v>
      </c>
      <c r="F695" t="inlineStr">
        <is>
          <t>none</t>
        </is>
      </c>
      <c r="G695" t="inlineStr"/>
      <c r="H695" t="inlineStr">
        <is>
          <t>high</t>
        </is>
      </c>
      <c r="I695" t="inlineStr"/>
      <c r="J695" t="b">
        <v>0</v>
      </c>
      <c r="K695" t="inlineStr"/>
      <c r="L695" t="inlineStr">
        <is>
          <t>30%
30%
30%
60%
60%
60%
OFF
OFF
OFF OFF
OFF
OFF
40% 40%
40% 40%
10%
10%
10%
OFF
OFF
OFF OFF
OFF
OFF
50% 50%
50%
20%
20%
20%
OFF
OFF OFF OFF
OFF
OFF</t>
        </is>
      </c>
      <c r="M695" t="inlineStr"/>
    </row>
    <row r="696">
      <c r="A696">
        <f>IMAGE("https://http2.mlstatic.com/D_NQ_NP_857812-MLB106192812720_022026-F.webp")</f>
        <v/>
      </c>
      <c r="B696" t="inlineStr">
        <is>
          <t>https://http2.mlstatic.com/D_NQ_NP_857812-MLB106192812720_022026-F.webp</t>
        </is>
      </c>
      <c r="C696" t="inlineStr">
        <is>
          <t>N-dirigido</t>
        </is>
      </c>
      <c r="D696" t="b">
        <v>0</v>
      </c>
      <c r="E696" t="b">
        <v>0</v>
      </c>
      <c r="F696" t="inlineStr">
        <is>
          <t>none</t>
        </is>
      </c>
      <c r="G696" t="inlineStr"/>
      <c r="H696" t="inlineStr">
        <is>
          <t>low</t>
        </is>
      </c>
      <c r="I696" t="inlineStr"/>
      <c r="J696" t="b">
        <v>0</v>
      </c>
      <c r="K696" t="inlineStr"/>
      <c r="L696" t="inlineStr">
        <is>
          <t>345
RELIEF CREAM
Gentle soothing, suitable
for all skin types
Contains ingredients that eliminate spots,
nourish and soothe skin, which can provide
continuous moisturizing and nourishing
to the skin, promote even skin tone, soothe
red skin, and keep the skin in a comfortable
state.
NET 600/1.700Z
34</t>
        </is>
      </c>
      <c r="M696" t="inlineStr"/>
    </row>
    <row r="697">
      <c r="A697">
        <f>IMAGE("https://http2.mlstatic.com/D_NQ_NP_912330-CBT104860791256_012026-F.webp")</f>
        <v/>
      </c>
      <c r="B697" t="inlineStr">
        <is>
          <t>https://http2.mlstatic.com/D_NQ_NP_912330-CBT104860791256_012026-F.webp</t>
        </is>
      </c>
      <c r="C697" t="inlineStr">
        <is>
          <t>N-dirigido</t>
        </is>
      </c>
      <c r="D697" t="b">
        <v>0</v>
      </c>
      <c r="E697" t="b">
        <v>0</v>
      </c>
      <c r="F697" t="inlineStr">
        <is>
          <t>none</t>
        </is>
      </c>
      <c r="G697" t="inlineStr"/>
      <c r="H697" t="inlineStr">
        <is>
          <t>low</t>
        </is>
      </c>
      <c r="I697" t="b">
        <v>0</v>
      </c>
      <c r="J697" t="b">
        <v>0</v>
      </c>
      <c r="K697" t="inlineStr"/>
      <c r="L697" t="inlineStr">
        <is>
          <t>7/32"X1/16"
1/4"X1/16"
5/16"X1/16"
or
or
5.29X1.78
20pcs
6.07X1.78
20pcs
6.8X1.9
20pcs
or
7.65X1.78
20pcs
7.8X1.9
20pcs
8X2
20pcs
0
7/16"X1/16"
7/16"X3/32"
8.8X1.9
20pcs
or
or
10.82X1.78
15pcs
10.77X2.65
15pcs
11X2
15pcs
12X2
15pcs
13.9X1.8
10pcs
9/16"X3/32"
14X2
or
10pcs
15X2
10pcs
17X2
10pcs
11/16</t>
        </is>
      </c>
      <c r="M697" t="inlineStr"/>
    </row>
    <row r="698">
      <c r="A698">
        <f>IMAGE("https://http2.mlstatic.com/D_NQ_NP_626051-MLM85490052524_062025-F.webp")</f>
        <v/>
      </c>
      <c r="B698" t="inlineStr">
        <is>
          <t>https://http2.mlstatic.com/D_NQ_NP_626051-MLM85490052524_062025-F.webp</t>
        </is>
      </c>
      <c r="C698" t="inlineStr">
        <is>
          <t>N-dirigido</t>
        </is>
      </c>
      <c r="D698" t="b">
        <v>0</v>
      </c>
      <c r="E698" t="b">
        <v>0</v>
      </c>
      <c r="F698" t="inlineStr">
        <is>
          <t>none</t>
        </is>
      </c>
      <c r="G698" t="inlineStr"/>
      <c r="H698" t="inlineStr">
        <is>
          <t>low</t>
        </is>
      </c>
      <c r="I698" t="inlineStr"/>
      <c r="J698" t="b">
        <v>0</v>
      </c>
      <c r="K698" t="inlineStr"/>
      <c r="L698" t="inlineStr">
        <is>
          <t>HOLKER
HANO MICRONEEDLE PATCH
GIP+GLP-1
NANO
MICRONEEDLE
PATCH
HOUKEA
GIP+GLP-1
NANO MICRONEEDLE PATCH
USES:
Control blood sugar,
Lose weight; Protect
cardiovascular system;
Control blood sugar
level; Lose weight and
keep fit; Maintain
good health
7-DAY
BODY
SHAPING
DIRECTIONS:
Clean and dry your
sk</t>
        </is>
      </c>
      <c r="M698" t="inlineStr"/>
    </row>
    <row r="699">
      <c r="A699">
        <f>IMAGE("https://http2.mlstatic.com/D_NQ_NP_614478-MCO112468026812_062026-F.webp")</f>
        <v/>
      </c>
      <c r="B699" t="inlineStr">
        <is>
          <t>https://http2.mlstatic.com/D_NQ_NP_614478-MCO112468026812_062026-F.webp</t>
        </is>
      </c>
      <c r="C699" t="inlineStr">
        <is>
          <t>N-dirigido</t>
        </is>
      </c>
      <c r="D699" t="b">
        <v>0</v>
      </c>
      <c r="E699" t="b">
        <v>0</v>
      </c>
      <c r="F699" t="inlineStr">
        <is>
          <t>none</t>
        </is>
      </c>
      <c r="G699" t="inlineStr"/>
      <c r="H699" t="inlineStr">
        <is>
          <t>low</t>
        </is>
      </c>
      <c r="I699" t="inlineStr"/>
      <c r="J699" t="b">
        <v>0</v>
      </c>
      <c r="K699" t="inlineStr"/>
      <c r="L699" t="inlineStr">
        <is>
          <t>ON OFFISPEED</t>
        </is>
      </c>
      <c r="M699" t="inlineStr"/>
    </row>
    <row r="700">
      <c r="A700">
        <f>IMAGE("https://http2.mlstatic.com/D_NQ_NP_733934-MLM103472400140_012026-F.webp")</f>
        <v/>
      </c>
      <c r="B700" t="inlineStr">
        <is>
          <t>https://http2.mlstatic.com/D_NQ_NP_733934-MLM103472400140_012026-F.webp</t>
        </is>
      </c>
      <c r="C700" t="inlineStr">
        <is>
          <t>N-dirigido</t>
        </is>
      </c>
      <c r="D700" t="b">
        <v>0</v>
      </c>
      <c r="E700" t="b">
        <v>0</v>
      </c>
      <c r="F700" t="inlineStr">
        <is>
          <t>none</t>
        </is>
      </c>
      <c r="G700" t="inlineStr"/>
      <c r="H700" t="inlineStr">
        <is>
          <t>low</t>
        </is>
      </c>
      <c r="I700" t="inlineStr"/>
      <c r="J700" t="b">
        <v>0</v>
      </c>
      <c r="K700" t="inlineStr"/>
      <c r="L700" t="inlineStr">
        <is>
          <t>ON OFF
SCAN
RESET</t>
        </is>
      </c>
      <c r="M700" t="inlineStr"/>
    </row>
    <row r="701">
      <c r="A701">
        <f>IMAGE("https://http2.mlstatic.com/D_NQ_NP_869345-CBT108849402744_032026-F.webp")</f>
        <v/>
      </c>
      <c r="B701" t="inlineStr">
        <is>
          <t>https://http2.mlstatic.com/D_NQ_NP_869345-CBT108849402744_032026-F.webp</t>
        </is>
      </c>
      <c r="C701" t="inlineStr">
        <is>
          <t>N-dirigido</t>
        </is>
      </c>
      <c r="D701" t="b">
        <v>0</v>
      </c>
      <c r="E701" t="b">
        <v>0</v>
      </c>
      <c r="F701" t="inlineStr">
        <is>
          <t>none</t>
        </is>
      </c>
      <c r="G701" t="inlineStr"/>
      <c r="H701" t="inlineStr">
        <is>
          <t>low</t>
        </is>
      </c>
      <c r="I701" t="inlineStr"/>
      <c r="J701" t="b">
        <v>0</v>
      </c>
      <c r="K701" t="inlineStr"/>
      <c r="L701" t="inlineStr">
        <is>
          <t>OFF
Rever
FUCK OFF</t>
        </is>
      </c>
      <c r="M7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2026-06-29T20:18:39Z</dcterms:created>
  <dcterms:modified xsi:type="dcterms:W3CDTF">2026-06-29T20:18:39Z</dcterms:modified>
</cp:coreProperties>
</file>